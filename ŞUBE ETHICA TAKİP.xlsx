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08CA3F1-ADD4-49D7-BD45-795081167570}" xr6:coauthVersionLast="47" xr6:coauthVersionMax="47" xr10:uidLastSave="{00000000-0000-0000-0000-000000000000}"/>
  <bookViews>
    <workbookView xWindow="0" yWindow="1188" windowWidth="17280" windowHeight="8880" activeTab="5" xr2:uid="{00000000-000D-0000-FFFF-FFFF00000000}"/>
  </bookViews>
  <sheets>
    <sheet name="ATAKUM" sheetId="6" r:id="rId1"/>
    <sheet name="KAVAK" sheetId="1" r:id="rId2"/>
    <sheet name="ILKADIM" sheetId="2" r:id="rId3"/>
    <sheet name="HEYKEL" sheetId="7" r:id="rId4"/>
    <sheet name="GENELTOPLAM" sheetId="4" r:id="rId5"/>
    <sheet name="MERKEZ" sheetId="3" r:id="rId6"/>
    <sheet name="SIRKETEKRANI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7" i="3" l="1"/>
  <c r="S367" i="3"/>
  <c r="R367" i="3"/>
  <c r="Q367" i="3"/>
  <c r="P367" i="3"/>
  <c r="O367" i="3"/>
  <c r="N367" i="3"/>
  <c r="M367" i="3"/>
  <c r="L367" i="3"/>
  <c r="K367" i="3"/>
  <c r="B4" i="3" s="1"/>
  <c r="J367" i="3"/>
  <c r="I367" i="3"/>
  <c r="H367" i="3"/>
  <c r="B5" i="3" s="1"/>
  <c r="G367" i="3"/>
  <c r="T367" i="7"/>
  <c r="S367" i="7"/>
  <c r="R367" i="7"/>
  <c r="Q367" i="7"/>
  <c r="P367" i="7"/>
  <c r="O367" i="7"/>
  <c r="N367" i="7"/>
  <c r="M367" i="7"/>
  <c r="L367" i="7"/>
  <c r="K367" i="7"/>
  <c r="B4" i="7" s="1"/>
  <c r="B8" i="7" s="1"/>
  <c r="J367" i="7"/>
  <c r="I367" i="7"/>
  <c r="H367" i="7"/>
  <c r="B5" i="7" s="1"/>
  <c r="G367" i="7"/>
  <c r="T367" i="2"/>
  <c r="S367" i="2"/>
  <c r="R367" i="2"/>
  <c r="Q367" i="2"/>
  <c r="P367" i="2"/>
  <c r="O367" i="2"/>
  <c r="N367" i="2"/>
  <c r="M367" i="2"/>
  <c r="L367" i="2"/>
  <c r="K367" i="2"/>
  <c r="B4" i="2" s="1"/>
  <c r="B8" i="2" s="1"/>
  <c r="J367" i="2"/>
  <c r="I367" i="2"/>
  <c r="H367" i="2"/>
  <c r="B5" i="2" s="1"/>
  <c r="G367" i="2"/>
  <c r="T367" i="1"/>
  <c r="S367" i="1"/>
  <c r="R367" i="1"/>
  <c r="Q367" i="1"/>
  <c r="P367" i="1"/>
  <c r="O367" i="1"/>
  <c r="N367" i="1"/>
  <c r="M367" i="1"/>
  <c r="L367" i="1"/>
  <c r="K367" i="1"/>
  <c r="B4" i="1" s="1"/>
  <c r="B8" i="1" s="1"/>
  <c r="J367" i="1"/>
  <c r="I367" i="1"/>
  <c r="H367" i="1"/>
  <c r="B5" i="1" s="1"/>
  <c r="G367" i="1"/>
  <c r="K367" i="6"/>
  <c r="B4" i="6" s="1"/>
  <c r="J367" i="6"/>
  <c r="H367" i="6"/>
  <c r="B5" i="6" s="1"/>
  <c r="G367" i="6"/>
  <c r="B16" i="2" l="1"/>
  <c r="B1" i="1"/>
  <c r="B16" i="7"/>
  <c r="B16" i="1"/>
  <c r="B16" i="3"/>
  <c r="B8" i="3"/>
  <c r="B9" i="3" s="1"/>
  <c r="B27" i="3" s="1"/>
  <c r="B5" i="4"/>
  <c r="B6" i="5" s="1"/>
  <c r="B9" i="7"/>
  <c r="B27" i="7" s="1"/>
  <c r="B3" i="1"/>
  <c r="B2" i="2"/>
  <c r="B14" i="2" s="1"/>
  <c r="B15" i="2" s="1"/>
  <c r="B2" i="7"/>
  <c r="B14" i="7" s="1"/>
  <c r="B15" i="7" s="1"/>
  <c r="B26" i="7" s="1"/>
  <c r="B3" i="2"/>
  <c r="B3" i="7"/>
  <c r="B3" i="3"/>
  <c r="B9" i="1"/>
  <c r="B27" i="1" s="1"/>
  <c r="B1" i="3"/>
  <c r="B2" i="3"/>
  <c r="B1" i="7"/>
  <c r="B1" i="2"/>
  <c r="B2" i="1"/>
  <c r="B9" i="2"/>
  <c r="B27" i="2" s="1"/>
  <c r="I367" i="6"/>
  <c r="B2" i="6" s="1"/>
  <c r="I2" i="5" l="1"/>
  <c r="I3" i="5"/>
  <c r="B2" i="4"/>
  <c r="B2" i="5"/>
  <c r="B14" i="1"/>
  <c r="B15" i="1" s="1"/>
  <c r="B11" i="1"/>
  <c r="B12" i="1" s="1"/>
  <c r="B23" i="1" s="1"/>
  <c r="B14" i="6"/>
  <c r="B15" i="6" s="1"/>
  <c r="B6" i="7"/>
  <c r="B6" i="1"/>
  <c r="B7" i="1" s="1"/>
  <c r="B20" i="1" s="1"/>
  <c r="B6" i="2"/>
  <c r="B19" i="2" s="1"/>
  <c r="B26" i="2"/>
  <c r="B6" i="3"/>
  <c r="B19" i="3" s="1"/>
  <c r="B10" i="2"/>
  <c r="B21" i="2" s="1"/>
  <c r="B13" i="2"/>
  <c r="B24" i="2" s="1"/>
  <c r="B11" i="2"/>
  <c r="B12" i="2" s="1"/>
  <c r="B23" i="2" s="1"/>
  <c r="B13" i="1"/>
  <c r="B24" i="1" s="1"/>
  <c r="B25" i="7"/>
  <c r="B11" i="7"/>
  <c r="B22" i="7" s="1"/>
  <c r="B13" i="7"/>
  <c r="B24" i="7" s="1"/>
  <c r="B10" i="7"/>
  <c r="B21" i="7" s="1"/>
  <c r="B26" i="1"/>
  <c r="B25" i="2"/>
  <c r="B11" i="3"/>
  <c r="B12" i="3" s="1"/>
  <c r="B23" i="3" s="1"/>
  <c r="B10" i="1"/>
  <c r="B21" i="1" s="1"/>
  <c r="B7" i="7"/>
  <c r="B20" i="7" s="1"/>
  <c r="B1" i="6"/>
  <c r="B14" i="3"/>
  <c r="B15" i="3" s="1"/>
  <c r="B26" i="3" s="1"/>
  <c r="B13" i="3"/>
  <c r="B10" i="3"/>
  <c r="B21" i="3" s="1"/>
  <c r="B8" i="6"/>
  <c r="B9" i="6" s="1"/>
  <c r="B27" i="6" s="1"/>
  <c r="B4" i="4"/>
  <c r="S367" i="6"/>
  <c r="T367" i="6"/>
  <c r="I10" i="5" s="1"/>
  <c r="P367" i="6"/>
  <c r="I7" i="5" s="1"/>
  <c r="Q367" i="6"/>
  <c r="R367" i="6"/>
  <c r="I5" i="5" s="1"/>
  <c r="L367" i="6"/>
  <c r="I4" i="5" s="1"/>
  <c r="M367" i="6"/>
  <c r="I6" i="5" s="1"/>
  <c r="N367" i="6"/>
  <c r="I9" i="5" s="1"/>
  <c r="O367" i="6"/>
  <c r="I8" i="5" s="1"/>
  <c r="I11" i="5" l="1"/>
  <c r="B25" i="1"/>
  <c r="B14" i="4"/>
  <c r="B22" i="1"/>
  <c r="B16" i="6"/>
  <c r="B12" i="7"/>
  <c r="B23" i="7" s="1"/>
  <c r="B1" i="4"/>
  <c r="B1" i="5" s="1"/>
  <c r="B7" i="2"/>
  <c r="B20" i="2" s="1"/>
  <c r="B22" i="2"/>
  <c r="B19" i="1"/>
  <c r="B24" i="3"/>
  <c r="B19" i="7"/>
  <c r="B7" i="3"/>
  <c r="B20" i="3" s="1"/>
  <c r="B22" i="3"/>
  <c r="B25" i="3"/>
  <c r="B8" i="4"/>
  <c r="B9" i="4" s="1"/>
  <c r="B27" i="4" s="1"/>
  <c r="B5" i="5"/>
  <c r="B9" i="5" s="1"/>
  <c r="B10" i="5" s="1"/>
  <c r="B29" i="5" s="1"/>
  <c r="B3" i="6"/>
  <c r="B3" i="4" s="1"/>
  <c r="B6" i="4" l="1"/>
  <c r="B19" i="4" s="1"/>
  <c r="B6" i="6"/>
  <c r="B16" i="4"/>
  <c r="B17" i="5" s="1"/>
  <c r="B15" i="5"/>
  <c r="B3" i="5"/>
  <c r="B4" i="5"/>
  <c r="B7" i="5" s="1"/>
  <c r="B11" i="4"/>
  <c r="B10" i="4"/>
  <c r="B21" i="4" s="1"/>
  <c r="B26" i="6"/>
  <c r="B25" i="4"/>
  <c r="B13" i="4"/>
  <c r="B25" i="6"/>
  <c r="B11" i="6"/>
  <c r="B13" i="6"/>
  <c r="B10" i="6"/>
  <c r="B21" i="6" s="1"/>
  <c r="B14" i="5" l="1"/>
  <c r="B26" i="5" s="1"/>
  <c r="B18" i="5"/>
  <c r="B21" i="5"/>
  <c r="B12" i="5"/>
  <c r="B7" i="4"/>
  <c r="B20" i="4" s="1"/>
  <c r="B15" i="4"/>
  <c r="B26" i="4" s="1"/>
  <c r="B16" i="5"/>
  <c r="B28" i="5" s="1"/>
  <c r="B22" i="4"/>
  <c r="B12" i="4"/>
  <c r="B23" i="4" s="1"/>
  <c r="B24" i="4"/>
  <c r="B11" i="5"/>
  <c r="B23" i="5" s="1"/>
  <c r="B24" i="6"/>
  <c r="B12" i="6"/>
  <c r="B23" i="6" s="1"/>
  <c r="B22" i="6"/>
  <c r="B7" i="6"/>
  <c r="B20" i="6" s="1"/>
  <c r="B19" i="6"/>
  <c r="B8" i="5" l="1"/>
  <c r="B22" i="5" s="1"/>
  <c r="B27" i="5"/>
  <c r="B13" i="5"/>
  <c r="B25" i="5" s="1"/>
  <c r="B24" i="5"/>
</calcChain>
</file>

<file path=xl/sharedStrings.xml><?xml version="1.0" encoding="utf-8"?>
<sst xmlns="http://schemas.openxmlformats.org/spreadsheetml/2006/main" count="274" uniqueCount="44">
  <si>
    <t>Toplam 7-8. Basamak Adedi</t>
  </si>
  <si>
    <t>Toplam 4. Basamak Adedi</t>
  </si>
  <si>
    <t>7. 8. BASAMAK HAKKI</t>
  </si>
  <si>
    <t>TARİH</t>
  </si>
  <si>
    <t>4. BASAMAK HARİÇ TRAFİK</t>
  </si>
  <si>
    <t xml:space="preserve"> 4. BASAMAK DAHİL TRAFİK</t>
  </si>
  <si>
    <t>KASKO</t>
  </si>
  <si>
    <t>KONUT</t>
  </si>
  <si>
    <t>İŞYERİ</t>
  </si>
  <si>
    <t>FERDİ KAZA</t>
  </si>
  <si>
    <t>SAĞLIK</t>
  </si>
  <si>
    <t>DASK</t>
  </si>
  <si>
    <t>TOPLAM</t>
  </si>
  <si>
    <t>MİNİ KASKO</t>
  </si>
  <si>
    <t>TAM KORUMA</t>
  </si>
  <si>
    <t>SEYAHAT</t>
  </si>
  <si>
    <t xml:space="preserve"> 4. BASAMAK TRAFİK</t>
  </si>
  <si>
    <t>5. VE 6. BASAMAK TRAFİK</t>
  </si>
  <si>
    <t>7. VE 8. BASAMAK TRAFİK</t>
  </si>
  <si>
    <t>TRAFİK HARİÇ ÜRETİM</t>
  </si>
  <si>
    <t>4. BASAMAK HARİÇ ORANI</t>
  </si>
  <si>
    <t>4. BASAMAK DAHİL ORANI</t>
  </si>
  <si>
    <t>GEREKLİ 4. BASAMAK ADETİ</t>
  </si>
  <si>
    <t>OTO DIŞI ORANI</t>
  </si>
  <si>
    <t>OTO DIŞI DURUMU</t>
  </si>
  <si>
    <t>GEREKEN 4. BASAMAK HARİÇ GEREKLİ OTO DIŞI</t>
  </si>
  <si>
    <t>GEREKEN 4. BASAMAK DAHİL GEREKLİ OTO DIŞI</t>
  </si>
  <si>
    <t>4. BASAMAK HARİÇ DURUM</t>
  </si>
  <si>
    <t>4. BASAMAK DAHİL DURUM</t>
  </si>
  <si>
    <t>ÖZET GÜNCEL DURUM(ATAKUM)</t>
  </si>
  <si>
    <t>ÖZET GÜNCEL DURUM(KAVAK)</t>
  </si>
  <si>
    <t>ÖZET GÜNCEL DURUM(İLKADIM)</t>
  </si>
  <si>
    <t>ÖZET GÜNCEL DURUM(HEYKEL)</t>
  </si>
  <si>
    <t>ÖZET GÜNCEL DURUM(GENEL)</t>
  </si>
  <si>
    <t>ÖZET GÜNCEL DURUM(MERKEZ)</t>
  </si>
  <si>
    <t xml:space="preserve"> 4. BASAMAK ADETİ</t>
  </si>
  <si>
    <t>7. VE 8. BASAMAK ADETİ</t>
  </si>
  <si>
    <t>ÖZET GÜNCEL DURUM(ŞİRKET EKRANI)</t>
  </si>
  <si>
    <t>OTO DIŞI TOPLAMI</t>
  </si>
  <si>
    <t>TOPLAM ÜRETİM</t>
  </si>
  <si>
    <t xml:space="preserve">4. BASAMAK TRAFİK </t>
  </si>
  <si>
    <t>TRAFİK</t>
  </si>
  <si>
    <t>SEYAHAT SAĞLIK</t>
  </si>
  <si>
    <t>TRAFİK 4. hariç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</si>
</sst>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20"/>
      <name val="Calibri"/>
      <family val="2"/>
      <charset val="162"/>
    </font>
    <font>
      <sz val="2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charset val="16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b/>
      <u/>
      <sz val="16"/>
      <color rgb="FF006100"/>
      <name val="Calibri"/>
      <family val="2"/>
      <charset val="16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6" tint="-0.249977111117893"/>
        <bgColor theme="0" tint="-0.1499984740745262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theme="0" tint="-0.14999847407452621"/>
      </patternFill>
    </fill>
    <fill>
      <patternFill patternType="solid">
        <fgColor theme="2"/>
        <bgColor theme="0" tint="-0.14999847407452621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1" fillId="22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7" borderId="0" xfId="0" applyFont="1" applyFill="1"/>
    <xf numFmtId="0" fontId="1" fillId="8" borderId="1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9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10" borderId="1" xfId="0" applyFont="1" applyFill="1" applyBorder="1"/>
    <xf numFmtId="164" fontId="6" fillId="0" borderId="4" xfId="0" applyNumberFormat="1" applyFont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8" fillId="20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8" fillId="20" borderId="0" xfId="0" applyNumberFormat="1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14" fontId="0" fillId="21" borderId="0" xfId="0" applyNumberFormat="1" applyFill="1" applyAlignment="1">
      <alignment horizontal="center" vertical="center"/>
    </xf>
    <xf numFmtId="0" fontId="3" fillId="21" borderId="0" xfId="0" applyFont="1" applyFill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center" vertical="center"/>
    </xf>
    <xf numFmtId="4" fontId="0" fillId="0" borderId="0" xfId="0" applyNumberFormat="1"/>
    <xf numFmtId="10" fontId="7" fillId="8" borderId="1" xfId="0" applyNumberFormat="1" applyFont="1" applyFill="1" applyBorder="1" applyAlignment="1">
      <alignment horizontal="center" vertical="center"/>
    </xf>
    <xf numFmtId="10" fontId="8" fillId="20" borderId="0" xfId="0" applyNumberFormat="1" applyFont="1" applyFill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2" fillId="8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13" fillId="22" borderId="0" xfId="1" applyFont="1"/>
    <xf numFmtId="164" fontId="12" fillId="20" borderId="0" xfId="0" applyNumberFormat="1" applyFont="1" applyFill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</cellXfs>
  <cellStyles count="2">
    <cellStyle name="İyi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zoomScale="70" zoomScaleNormal="70" workbookViewId="0">
      <pane ySplit="1" topLeftCell="A8" activePane="bottomLeft" state="frozen"/>
      <selection pane="bottomLeft" activeCell="O37" sqref="O37"/>
    </sheetView>
  </sheetViews>
  <sheetFormatPr defaultRowHeight="14.4" x14ac:dyDescent="0.3"/>
  <cols>
    <col min="1" max="1" width="74.44140625" customWidth="1"/>
    <col min="2" max="2" width="22" bestFit="1" customWidth="1"/>
    <col min="3" max="3" width="44.44140625" customWidth="1"/>
    <col min="4" max="4" width="15" bestFit="1" customWidth="1"/>
    <col min="6" max="6" width="16.109375" customWidth="1"/>
    <col min="7" max="9" width="26" customWidth="1"/>
    <col min="10" max="11" width="24.5546875" customWidth="1"/>
    <col min="12" max="20" width="18.6640625" customWidth="1"/>
  </cols>
  <sheetData>
    <row r="1" spans="1:20" ht="33" customHeight="1" x14ac:dyDescent="0.5">
      <c r="A1" s="10" t="s">
        <v>5</v>
      </c>
      <c r="B1" s="23">
        <f>SUM(G367,I367,J367)</f>
        <v>0</v>
      </c>
      <c r="F1" s="5" t="s">
        <v>3</v>
      </c>
      <c r="G1" s="7" t="s">
        <v>16</v>
      </c>
      <c r="H1" s="7" t="s">
        <v>35</v>
      </c>
      <c r="I1" s="7" t="s">
        <v>17</v>
      </c>
      <c r="J1" s="7" t="s">
        <v>18</v>
      </c>
      <c r="K1" s="7" t="s">
        <v>36</v>
      </c>
      <c r="L1" s="7" t="s">
        <v>6</v>
      </c>
      <c r="M1" s="7" t="s">
        <v>7</v>
      </c>
      <c r="N1" s="7" t="s">
        <v>11</v>
      </c>
      <c r="O1" s="7" t="s">
        <v>9</v>
      </c>
      <c r="P1" s="7" t="s">
        <v>10</v>
      </c>
      <c r="Q1" s="7" t="s">
        <v>13</v>
      </c>
      <c r="R1" s="7" t="s">
        <v>8</v>
      </c>
      <c r="S1" s="7" t="s">
        <v>14</v>
      </c>
      <c r="T1" s="7" t="s">
        <v>15</v>
      </c>
    </row>
    <row r="2" spans="1:20" ht="33" customHeight="1" x14ac:dyDescent="0.5">
      <c r="A2" s="11" t="s">
        <v>4</v>
      </c>
      <c r="B2" s="24">
        <f>SUM(I367,J367)</f>
        <v>0</v>
      </c>
      <c r="F2" s="6">
        <v>46023</v>
      </c>
    </row>
    <row r="3" spans="1:20" ht="33" customHeight="1" x14ac:dyDescent="0.5">
      <c r="A3" s="8" t="s">
        <v>19</v>
      </c>
      <c r="B3" s="25">
        <f>SUM(L367,M367,N367,O367,P367,Q367,R367,S367,T367)</f>
        <v>1485</v>
      </c>
      <c r="F3" s="6">
        <v>46024</v>
      </c>
    </row>
    <row r="4" spans="1:20" ht="33" customHeight="1" x14ac:dyDescent="0.5">
      <c r="A4" s="13" t="s">
        <v>0</v>
      </c>
      <c r="B4" s="26">
        <f>K367</f>
        <v>0</v>
      </c>
      <c r="F4" s="6">
        <v>46025</v>
      </c>
    </row>
    <row r="5" spans="1:20" ht="33" customHeight="1" x14ac:dyDescent="0.5">
      <c r="A5" s="15" t="s">
        <v>1</v>
      </c>
      <c r="B5" s="27">
        <f>H367</f>
        <v>0</v>
      </c>
      <c r="F5" s="6">
        <v>46026</v>
      </c>
    </row>
    <row r="6" spans="1:20" ht="33" customHeight="1" x14ac:dyDescent="0.5">
      <c r="A6" s="16" t="s">
        <v>20</v>
      </c>
      <c r="B6" s="44">
        <f>IF(B1+B3=0,0,B2/(B1+B3))</f>
        <v>0</v>
      </c>
      <c r="F6" s="6">
        <v>46027</v>
      </c>
    </row>
    <row r="7" spans="1:20" ht="33" customHeight="1" x14ac:dyDescent="0.5">
      <c r="A7" s="18" t="s">
        <v>27</v>
      </c>
      <c r="B7" s="27" t="str">
        <f>IF(B6&lt;=0.699, "✅ Uygun", "❌ Aşıldı")</f>
        <v>✅ Uygun</v>
      </c>
      <c r="F7" s="6">
        <v>46028</v>
      </c>
    </row>
    <row r="8" spans="1:20" ht="33" customHeight="1" x14ac:dyDescent="0.5">
      <c r="A8" s="19" t="s">
        <v>22</v>
      </c>
      <c r="B8" s="26">
        <f>B4*0.3</f>
        <v>0</v>
      </c>
      <c r="F8" s="6">
        <v>46029</v>
      </c>
    </row>
    <row r="9" spans="1:20" ht="33" customHeight="1" x14ac:dyDescent="0.5">
      <c r="A9" s="14" t="s">
        <v>2</v>
      </c>
      <c r="B9" s="27" t="str">
        <f>IF(B5&gt;=B8, "✅ Uygun", "❌ Yetersiz")</f>
        <v>✅ Uygun</v>
      </c>
      <c r="F9" s="6">
        <v>46030</v>
      </c>
    </row>
    <row r="10" spans="1:20" ht="33" customHeight="1" x14ac:dyDescent="0.5">
      <c r="A10" s="12" t="s">
        <v>26</v>
      </c>
      <c r="B10" s="28">
        <f>IF(B1=0,0,B1/0.799 - B1)-B3</f>
        <v>-1485</v>
      </c>
      <c r="F10" s="6">
        <v>46031</v>
      </c>
    </row>
    <row r="11" spans="1:20" ht="33" customHeight="1" x14ac:dyDescent="0.5">
      <c r="A11" s="21" t="s">
        <v>21</v>
      </c>
      <c r="B11" s="43">
        <f>IF(SUM(B1,B3)=0, 0, B1/SUM(B1,B3))</f>
        <v>0</v>
      </c>
      <c r="F11" s="6">
        <v>46032</v>
      </c>
    </row>
    <row r="12" spans="1:20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6">
        <v>46033</v>
      </c>
    </row>
    <row r="13" spans="1:20" ht="33" customHeight="1" x14ac:dyDescent="0.5">
      <c r="A13" s="17" t="s">
        <v>25</v>
      </c>
      <c r="B13" s="30">
        <f>IF(B2=0,0,B2/0.699 - B2)-B3</f>
        <v>-1485</v>
      </c>
      <c r="C13" s="1"/>
      <c r="F13" s="6">
        <v>46034</v>
      </c>
    </row>
    <row r="14" spans="1:20" ht="33" customHeight="1" x14ac:dyDescent="0.5">
      <c r="A14" s="9" t="s">
        <v>23</v>
      </c>
      <c r="B14" s="41">
        <f>IF(B2=0,0,(M367+O367+P367+R367+T367)/B2)</f>
        <v>0</v>
      </c>
      <c r="F14" s="6">
        <v>46035</v>
      </c>
    </row>
    <row r="15" spans="1:20" ht="33" customHeight="1" x14ac:dyDescent="0.5">
      <c r="A15" s="22" t="s">
        <v>24</v>
      </c>
      <c r="B15" s="27" t="str">
        <f>IF(B14&gt;=0.1,"✅ Uygun","❌ Aşıldı")</f>
        <v>❌ Aşıldı</v>
      </c>
      <c r="F15" s="6">
        <v>46036</v>
      </c>
    </row>
    <row r="16" spans="1:20" ht="33" customHeight="1" x14ac:dyDescent="0.5">
      <c r="A16" s="22" t="s">
        <v>38</v>
      </c>
      <c r="B16" s="25">
        <f>M367+O367+P367+R367+T367</f>
        <v>0</v>
      </c>
      <c r="F16" s="6">
        <v>46037</v>
      </c>
    </row>
    <row r="17" spans="1:6" ht="33" customHeight="1" x14ac:dyDescent="0.3">
      <c r="F17" s="6">
        <v>46038</v>
      </c>
    </row>
    <row r="18" spans="1:6" ht="33" customHeight="1" x14ac:dyDescent="0.55000000000000004">
      <c r="A18" s="48" t="s">
        <v>29</v>
      </c>
      <c r="B18" s="49"/>
      <c r="F18" s="6">
        <v>46039</v>
      </c>
    </row>
    <row r="19" spans="1:6" ht="33" customHeight="1" x14ac:dyDescent="0.5">
      <c r="A19" s="16" t="s">
        <v>20</v>
      </c>
      <c r="B19" s="42">
        <f>B6</f>
        <v>0</v>
      </c>
      <c r="F19" s="6">
        <v>46040</v>
      </c>
    </row>
    <row r="20" spans="1:6" ht="33" customHeight="1" x14ac:dyDescent="0.5">
      <c r="A20" s="18" t="s">
        <v>27</v>
      </c>
      <c r="B20" s="32" t="str">
        <f>B7</f>
        <v>✅ Uygun</v>
      </c>
      <c r="F20" s="6">
        <v>46041</v>
      </c>
    </row>
    <row r="21" spans="1:6" ht="33" customHeight="1" x14ac:dyDescent="0.5">
      <c r="A21" s="17" t="s">
        <v>26</v>
      </c>
      <c r="B21" s="34">
        <f t="shared" ref="B21:B26" si="0">B10</f>
        <v>-1485</v>
      </c>
      <c r="F21" s="6">
        <v>46042</v>
      </c>
    </row>
    <row r="22" spans="1:6" ht="33" customHeight="1" x14ac:dyDescent="0.5">
      <c r="A22" s="21" t="s">
        <v>21</v>
      </c>
      <c r="B22" s="42">
        <f t="shared" si="0"/>
        <v>0</v>
      </c>
      <c r="F22" s="6">
        <v>46043</v>
      </c>
    </row>
    <row r="23" spans="1:6" ht="33" customHeight="1" x14ac:dyDescent="0.5">
      <c r="A23" s="20" t="s">
        <v>28</v>
      </c>
      <c r="B23" s="33" t="str">
        <f t="shared" si="0"/>
        <v>✅ Uygun</v>
      </c>
      <c r="F23" s="6">
        <v>46044</v>
      </c>
    </row>
    <row r="24" spans="1:6" ht="33" customHeight="1" x14ac:dyDescent="0.5">
      <c r="A24" s="17" t="s">
        <v>25</v>
      </c>
      <c r="B24" s="34">
        <f t="shared" si="0"/>
        <v>-1485</v>
      </c>
      <c r="F24" s="6">
        <v>46045</v>
      </c>
    </row>
    <row r="25" spans="1:6" ht="33" customHeight="1" x14ac:dyDescent="0.5">
      <c r="A25" s="9" t="s">
        <v>23</v>
      </c>
      <c r="B25" s="42">
        <f t="shared" si="0"/>
        <v>0</v>
      </c>
      <c r="F25" s="6">
        <v>46046</v>
      </c>
    </row>
    <row r="26" spans="1:6" ht="33" customHeight="1" x14ac:dyDescent="0.5">
      <c r="A26" s="22" t="s">
        <v>24</v>
      </c>
      <c r="B26" s="32" t="str">
        <f t="shared" si="0"/>
        <v>❌ Aşıldı</v>
      </c>
      <c r="F26" s="6">
        <v>46047</v>
      </c>
    </row>
    <row r="27" spans="1:6" ht="33" customHeight="1" x14ac:dyDescent="0.5">
      <c r="A27" s="14" t="s">
        <v>2</v>
      </c>
      <c r="B27" s="32" t="str">
        <f>B9</f>
        <v>✅ Uygun</v>
      </c>
      <c r="F27" s="6">
        <v>46048</v>
      </c>
    </row>
    <row r="28" spans="1:6" ht="33" customHeight="1" x14ac:dyDescent="0.3">
      <c r="F28" s="6">
        <v>46049</v>
      </c>
    </row>
    <row r="29" spans="1:6" ht="33" customHeight="1" x14ac:dyDescent="0.3">
      <c r="F29" s="6">
        <v>46050</v>
      </c>
    </row>
    <row r="30" spans="1:6" ht="33" customHeight="1" x14ac:dyDescent="0.3">
      <c r="F30" s="6">
        <v>46051</v>
      </c>
    </row>
    <row r="31" spans="1:6" ht="33" customHeight="1" x14ac:dyDescent="0.3">
      <c r="F31" s="6">
        <v>46052</v>
      </c>
    </row>
    <row r="32" spans="1:6" ht="33" customHeight="1" x14ac:dyDescent="0.3">
      <c r="F32" s="6">
        <v>46053</v>
      </c>
    </row>
    <row r="33" spans="6:14" ht="33" customHeight="1" x14ac:dyDescent="0.3">
      <c r="F33" s="6">
        <v>46054</v>
      </c>
    </row>
    <row r="34" spans="6:14" ht="33" customHeight="1" x14ac:dyDescent="0.3">
      <c r="F34" s="6">
        <v>46055</v>
      </c>
    </row>
    <row r="35" spans="6:14" ht="33" customHeight="1" x14ac:dyDescent="0.3">
      <c r="F35" s="6">
        <v>46056</v>
      </c>
    </row>
    <row r="36" spans="6:14" ht="33" customHeight="1" x14ac:dyDescent="0.3">
      <c r="F36" s="6">
        <v>46057</v>
      </c>
    </row>
    <row r="37" spans="6:14" ht="33" customHeight="1" x14ac:dyDescent="0.3">
      <c r="F37" s="6">
        <v>46058</v>
      </c>
      <c r="N37">
        <v>1485</v>
      </c>
    </row>
    <row r="38" spans="6:14" ht="33" customHeight="1" x14ac:dyDescent="0.3">
      <c r="F38" s="6">
        <v>46059</v>
      </c>
    </row>
    <row r="39" spans="6:14" ht="33" customHeight="1" x14ac:dyDescent="0.3">
      <c r="F39" s="6">
        <v>46060</v>
      </c>
    </row>
    <row r="40" spans="6:14" ht="33" customHeight="1" x14ac:dyDescent="0.3">
      <c r="F40" s="6">
        <v>46061</v>
      </c>
    </row>
    <row r="41" spans="6:14" ht="33" customHeight="1" x14ac:dyDescent="0.3">
      <c r="F41" s="6">
        <v>46062</v>
      </c>
    </row>
    <row r="42" spans="6:14" ht="33" customHeight="1" x14ac:dyDescent="0.3">
      <c r="F42" s="6">
        <v>46063</v>
      </c>
    </row>
    <row r="43" spans="6:14" ht="33" customHeight="1" x14ac:dyDescent="0.3">
      <c r="F43" s="6">
        <v>46064</v>
      </c>
    </row>
    <row r="44" spans="6:14" ht="33" customHeight="1" x14ac:dyDescent="0.3">
      <c r="F44" s="6">
        <v>46065</v>
      </c>
    </row>
    <row r="45" spans="6:14" ht="33" customHeight="1" x14ac:dyDescent="0.3">
      <c r="F45" s="6">
        <v>46066</v>
      </c>
    </row>
    <row r="46" spans="6:14" ht="33" customHeight="1" x14ac:dyDescent="0.3">
      <c r="F46" s="6">
        <v>46067</v>
      </c>
    </row>
    <row r="47" spans="6:14" ht="33" customHeight="1" x14ac:dyDescent="0.3">
      <c r="F47" s="6">
        <v>46068</v>
      </c>
    </row>
    <row r="48" spans="6:14" ht="33" customHeight="1" x14ac:dyDescent="0.3">
      <c r="F48" s="6">
        <v>46069</v>
      </c>
    </row>
    <row r="49" spans="6:6" ht="33" customHeight="1" x14ac:dyDescent="0.3">
      <c r="F49" s="6">
        <v>46070</v>
      </c>
    </row>
    <row r="50" spans="6:6" ht="33" customHeight="1" x14ac:dyDescent="0.3">
      <c r="F50" s="6">
        <v>46071</v>
      </c>
    </row>
    <row r="51" spans="6:6" ht="33" customHeight="1" x14ac:dyDescent="0.3">
      <c r="F51" s="6">
        <v>46072</v>
      </c>
    </row>
    <row r="52" spans="6:6" ht="33" customHeight="1" x14ac:dyDescent="0.3">
      <c r="F52" s="6">
        <v>46073</v>
      </c>
    </row>
    <row r="53" spans="6:6" ht="33" customHeight="1" x14ac:dyDescent="0.3">
      <c r="F53" s="6">
        <v>46074</v>
      </c>
    </row>
    <row r="54" spans="6:6" ht="33" customHeight="1" x14ac:dyDescent="0.3">
      <c r="F54" s="6">
        <v>46075</v>
      </c>
    </row>
    <row r="55" spans="6:6" ht="33" customHeight="1" x14ac:dyDescent="0.3">
      <c r="F55" s="6">
        <v>46076</v>
      </c>
    </row>
    <row r="56" spans="6:6" ht="33" customHeight="1" x14ac:dyDescent="0.3">
      <c r="F56" s="6">
        <v>46077</v>
      </c>
    </row>
    <row r="57" spans="6:6" ht="33" customHeight="1" x14ac:dyDescent="0.3">
      <c r="F57" s="6">
        <v>46078</v>
      </c>
    </row>
    <row r="58" spans="6:6" ht="33" customHeight="1" x14ac:dyDescent="0.3">
      <c r="F58" s="6">
        <v>46079</v>
      </c>
    </row>
    <row r="59" spans="6:6" ht="33" customHeight="1" x14ac:dyDescent="0.3">
      <c r="F59" s="6">
        <v>46080</v>
      </c>
    </row>
    <row r="60" spans="6:6" ht="33" customHeight="1" x14ac:dyDescent="0.3">
      <c r="F60" s="6">
        <v>46081</v>
      </c>
    </row>
    <row r="61" spans="6:6" ht="33" customHeight="1" x14ac:dyDescent="0.3">
      <c r="F61" s="6">
        <v>46082</v>
      </c>
    </row>
    <row r="62" spans="6:6" ht="33" customHeight="1" x14ac:dyDescent="0.3">
      <c r="F62" s="6">
        <v>46083</v>
      </c>
    </row>
    <row r="63" spans="6:6" ht="33" customHeight="1" x14ac:dyDescent="0.3">
      <c r="F63" s="6">
        <v>46084</v>
      </c>
    </row>
    <row r="64" spans="6:6" ht="33" customHeight="1" x14ac:dyDescent="0.3">
      <c r="F64" s="6">
        <v>46085</v>
      </c>
    </row>
    <row r="65" spans="6:6" ht="33" customHeight="1" x14ac:dyDescent="0.3">
      <c r="F65" s="6">
        <v>46086</v>
      </c>
    </row>
    <row r="66" spans="6:6" ht="33" customHeight="1" x14ac:dyDescent="0.3">
      <c r="F66" s="6">
        <v>46087</v>
      </c>
    </row>
    <row r="67" spans="6:6" ht="33" customHeight="1" x14ac:dyDescent="0.3">
      <c r="F67" s="6">
        <v>46088</v>
      </c>
    </row>
    <row r="68" spans="6:6" ht="33" customHeight="1" x14ac:dyDescent="0.3">
      <c r="F68" s="6">
        <v>46089</v>
      </c>
    </row>
    <row r="69" spans="6:6" ht="33" customHeight="1" x14ac:dyDescent="0.3">
      <c r="F69" s="6">
        <v>46090</v>
      </c>
    </row>
    <row r="70" spans="6:6" ht="33" customHeight="1" x14ac:dyDescent="0.3">
      <c r="F70" s="6">
        <v>46091</v>
      </c>
    </row>
    <row r="71" spans="6:6" ht="33" customHeight="1" x14ac:dyDescent="0.3">
      <c r="F71" s="6">
        <v>46092</v>
      </c>
    </row>
    <row r="72" spans="6:6" ht="33" customHeight="1" x14ac:dyDescent="0.3">
      <c r="F72" s="6">
        <v>46093</v>
      </c>
    </row>
    <row r="73" spans="6:6" ht="33" customHeight="1" x14ac:dyDescent="0.3">
      <c r="F73" s="6">
        <v>46094</v>
      </c>
    </row>
    <row r="74" spans="6:6" ht="33" customHeight="1" x14ac:dyDescent="0.3">
      <c r="F74" s="6">
        <v>46095</v>
      </c>
    </row>
    <row r="75" spans="6:6" ht="33" customHeight="1" x14ac:dyDescent="0.3">
      <c r="F75" s="6">
        <v>46096</v>
      </c>
    </row>
    <row r="76" spans="6:6" ht="33" customHeight="1" x14ac:dyDescent="0.3">
      <c r="F76" s="6">
        <v>46097</v>
      </c>
    </row>
    <row r="77" spans="6:6" ht="33" customHeight="1" x14ac:dyDescent="0.3">
      <c r="F77" s="6">
        <v>46098</v>
      </c>
    </row>
    <row r="78" spans="6:6" ht="33" customHeight="1" x14ac:dyDescent="0.3">
      <c r="F78" s="6">
        <v>46099</v>
      </c>
    </row>
    <row r="79" spans="6:6" ht="33" customHeight="1" x14ac:dyDescent="0.3">
      <c r="F79" s="6">
        <v>46100</v>
      </c>
    </row>
    <row r="80" spans="6:6" ht="33" customHeight="1" x14ac:dyDescent="0.3">
      <c r="F80" s="6">
        <v>46101</v>
      </c>
    </row>
    <row r="81" spans="6:6" ht="33" customHeight="1" x14ac:dyDescent="0.3">
      <c r="F81" s="6">
        <v>46102</v>
      </c>
    </row>
    <row r="82" spans="6:6" ht="33" customHeight="1" x14ac:dyDescent="0.3">
      <c r="F82" s="6">
        <v>46103</v>
      </c>
    </row>
    <row r="83" spans="6:6" ht="33" customHeight="1" x14ac:dyDescent="0.3">
      <c r="F83" s="6">
        <v>46104</v>
      </c>
    </row>
    <row r="84" spans="6:6" ht="33" customHeight="1" x14ac:dyDescent="0.3">
      <c r="F84" s="6">
        <v>46105</v>
      </c>
    </row>
    <row r="85" spans="6:6" ht="33" customHeight="1" x14ac:dyDescent="0.3">
      <c r="F85" s="6">
        <v>46106</v>
      </c>
    </row>
    <row r="86" spans="6:6" ht="33" customHeight="1" x14ac:dyDescent="0.3">
      <c r="F86" s="6">
        <v>46107</v>
      </c>
    </row>
    <row r="87" spans="6:6" ht="33" customHeight="1" x14ac:dyDescent="0.3">
      <c r="F87" s="6">
        <v>46108</v>
      </c>
    </row>
    <row r="88" spans="6:6" ht="33" customHeight="1" x14ac:dyDescent="0.3">
      <c r="F88" s="6">
        <v>46109</v>
      </c>
    </row>
    <row r="89" spans="6:6" ht="33" customHeight="1" x14ac:dyDescent="0.3">
      <c r="F89" s="6">
        <v>46110</v>
      </c>
    </row>
    <row r="90" spans="6:6" ht="33" customHeight="1" x14ac:dyDescent="0.3">
      <c r="F90" s="6">
        <v>46111</v>
      </c>
    </row>
    <row r="91" spans="6:6" ht="33" customHeight="1" x14ac:dyDescent="0.3">
      <c r="F91" s="6">
        <v>46112</v>
      </c>
    </row>
    <row r="92" spans="6:6" ht="33" customHeight="1" x14ac:dyDescent="0.3">
      <c r="F92" s="6">
        <v>46113</v>
      </c>
    </row>
    <row r="93" spans="6:6" ht="33" customHeight="1" x14ac:dyDescent="0.3">
      <c r="F93" s="6">
        <v>46114</v>
      </c>
    </row>
    <row r="94" spans="6:6" ht="33" customHeight="1" x14ac:dyDescent="0.3">
      <c r="F94" s="6">
        <v>46115</v>
      </c>
    </row>
    <row r="95" spans="6:6" ht="33" customHeight="1" x14ac:dyDescent="0.3">
      <c r="F95" s="6">
        <v>46116</v>
      </c>
    </row>
    <row r="96" spans="6:6" ht="33" customHeight="1" x14ac:dyDescent="0.3">
      <c r="F96" s="6">
        <v>46117</v>
      </c>
    </row>
    <row r="97" spans="6:6" ht="33" customHeight="1" x14ac:dyDescent="0.3">
      <c r="F97" s="6">
        <v>46118</v>
      </c>
    </row>
    <row r="98" spans="6:6" ht="33" customHeight="1" x14ac:dyDescent="0.3">
      <c r="F98" s="6">
        <v>46119</v>
      </c>
    </row>
    <row r="99" spans="6:6" ht="33" customHeight="1" x14ac:dyDescent="0.3">
      <c r="F99" s="6">
        <v>46120</v>
      </c>
    </row>
    <row r="100" spans="6:6" ht="33" customHeight="1" x14ac:dyDescent="0.3">
      <c r="F100" s="6">
        <v>46121</v>
      </c>
    </row>
    <row r="101" spans="6:6" ht="33" customHeight="1" x14ac:dyDescent="0.3">
      <c r="F101" s="6">
        <v>46122</v>
      </c>
    </row>
    <row r="102" spans="6:6" ht="33" customHeight="1" x14ac:dyDescent="0.3">
      <c r="F102" s="6">
        <v>46123</v>
      </c>
    </row>
    <row r="103" spans="6:6" ht="33" customHeight="1" x14ac:dyDescent="0.3">
      <c r="F103" s="6">
        <v>46124</v>
      </c>
    </row>
    <row r="104" spans="6:6" ht="33" customHeight="1" x14ac:dyDescent="0.3">
      <c r="F104" s="6">
        <v>46125</v>
      </c>
    </row>
    <row r="105" spans="6:6" ht="33" customHeight="1" x14ac:dyDescent="0.3">
      <c r="F105" s="6">
        <v>46126</v>
      </c>
    </row>
    <row r="106" spans="6:6" ht="33" customHeight="1" x14ac:dyDescent="0.3">
      <c r="F106" s="6">
        <v>46127</v>
      </c>
    </row>
    <row r="107" spans="6:6" ht="33" customHeight="1" x14ac:dyDescent="0.3">
      <c r="F107" s="6">
        <v>46128</v>
      </c>
    </row>
    <row r="108" spans="6:6" ht="33" customHeight="1" x14ac:dyDescent="0.3">
      <c r="F108" s="6">
        <v>46129</v>
      </c>
    </row>
    <row r="109" spans="6:6" ht="33" customHeight="1" x14ac:dyDescent="0.3">
      <c r="F109" s="6">
        <v>46130</v>
      </c>
    </row>
    <row r="110" spans="6:6" ht="33" customHeight="1" x14ac:dyDescent="0.3">
      <c r="F110" s="6">
        <v>46131</v>
      </c>
    </row>
    <row r="111" spans="6:6" ht="33" customHeight="1" x14ac:dyDescent="0.3">
      <c r="F111" s="6">
        <v>46132</v>
      </c>
    </row>
    <row r="112" spans="6:6" ht="33" customHeight="1" x14ac:dyDescent="0.3">
      <c r="F112" s="6">
        <v>46133</v>
      </c>
    </row>
    <row r="113" spans="6:6" ht="33" customHeight="1" x14ac:dyDescent="0.3">
      <c r="F113" s="6">
        <v>46134</v>
      </c>
    </row>
    <row r="114" spans="6:6" ht="33" customHeight="1" x14ac:dyDescent="0.3">
      <c r="F114" s="6">
        <v>46135</v>
      </c>
    </row>
    <row r="115" spans="6:6" ht="33" customHeight="1" x14ac:dyDescent="0.3">
      <c r="F115" s="6">
        <v>46136</v>
      </c>
    </row>
    <row r="116" spans="6:6" ht="33" customHeight="1" x14ac:dyDescent="0.3">
      <c r="F116" s="6">
        <v>46137</v>
      </c>
    </row>
    <row r="117" spans="6:6" ht="33" customHeight="1" x14ac:dyDescent="0.3">
      <c r="F117" s="6">
        <v>46138</v>
      </c>
    </row>
    <row r="118" spans="6:6" ht="33" customHeight="1" x14ac:dyDescent="0.3">
      <c r="F118" s="6">
        <v>46139</v>
      </c>
    </row>
    <row r="119" spans="6:6" ht="33" customHeight="1" x14ac:dyDescent="0.3">
      <c r="F119" s="6">
        <v>46140</v>
      </c>
    </row>
    <row r="120" spans="6:6" ht="33" customHeight="1" x14ac:dyDescent="0.3">
      <c r="F120" s="6">
        <v>46141</v>
      </c>
    </row>
    <row r="121" spans="6:6" ht="33" customHeight="1" x14ac:dyDescent="0.3">
      <c r="F121" s="6">
        <v>46142</v>
      </c>
    </row>
    <row r="122" spans="6:6" ht="33" customHeight="1" x14ac:dyDescent="0.3">
      <c r="F122" s="6">
        <v>46143</v>
      </c>
    </row>
    <row r="123" spans="6:6" ht="33" customHeight="1" x14ac:dyDescent="0.3">
      <c r="F123" s="6">
        <v>46144</v>
      </c>
    </row>
    <row r="124" spans="6:6" ht="33" customHeight="1" x14ac:dyDescent="0.3">
      <c r="F124" s="6">
        <v>46145</v>
      </c>
    </row>
    <row r="125" spans="6:6" ht="33" customHeight="1" x14ac:dyDescent="0.3">
      <c r="F125" s="6">
        <v>46146</v>
      </c>
    </row>
    <row r="126" spans="6:6" ht="33" customHeight="1" x14ac:dyDescent="0.3">
      <c r="F126" s="6">
        <v>46147</v>
      </c>
    </row>
    <row r="127" spans="6:6" ht="33" customHeight="1" x14ac:dyDescent="0.3">
      <c r="F127" s="6">
        <v>46148</v>
      </c>
    </row>
    <row r="128" spans="6:6" ht="33" customHeight="1" x14ac:dyDescent="0.3">
      <c r="F128" s="6">
        <v>46149</v>
      </c>
    </row>
    <row r="129" spans="6:6" ht="33" customHeight="1" x14ac:dyDescent="0.3">
      <c r="F129" s="6">
        <v>46150</v>
      </c>
    </row>
    <row r="130" spans="6:6" ht="33" customHeight="1" x14ac:dyDescent="0.3">
      <c r="F130" s="6">
        <v>46151</v>
      </c>
    </row>
    <row r="131" spans="6:6" ht="33" customHeight="1" x14ac:dyDescent="0.3">
      <c r="F131" s="6">
        <v>46152</v>
      </c>
    </row>
    <row r="132" spans="6:6" ht="33" customHeight="1" x14ac:dyDescent="0.3">
      <c r="F132" s="6">
        <v>46153</v>
      </c>
    </row>
    <row r="133" spans="6:6" ht="33" customHeight="1" x14ac:dyDescent="0.3">
      <c r="F133" s="6">
        <v>46154</v>
      </c>
    </row>
    <row r="134" spans="6:6" ht="33" customHeight="1" x14ac:dyDescent="0.3">
      <c r="F134" s="6">
        <v>46155</v>
      </c>
    </row>
    <row r="135" spans="6:6" ht="33" customHeight="1" x14ac:dyDescent="0.3">
      <c r="F135" s="6">
        <v>46156</v>
      </c>
    </row>
    <row r="136" spans="6:6" ht="33" customHeight="1" x14ac:dyDescent="0.3">
      <c r="F136" s="6">
        <v>46157</v>
      </c>
    </row>
    <row r="137" spans="6:6" ht="33" customHeight="1" x14ac:dyDescent="0.3">
      <c r="F137" s="6">
        <v>46158</v>
      </c>
    </row>
    <row r="138" spans="6:6" ht="33" customHeight="1" x14ac:dyDescent="0.3">
      <c r="F138" s="6">
        <v>46159</v>
      </c>
    </row>
    <row r="139" spans="6:6" ht="33" customHeight="1" x14ac:dyDescent="0.3">
      <c r="F139" s="6">
        <v>46160</v>
      </c>
    </row>
    <row r="140" spans="6:6" ht="33" customHeight="1" x14ac:dyDescent="0.3">
      <c r="F140" s="6">
        <v>46161</v>
      </c>
    </row>
    <row r="141" spans="6:6" ht="33" customHeight="1" x14ac:dyDescent="0.3">
      <c r="F141" s="6">
        <v>46162</v>
      </c>
    </row>
    <row r="142" spans="6:6" ht="33" customHeight="1" x14ac:dyDescent="0.3">
      <c r="F142" s="6">
        <v>46163</v>
      </c>
    </row>
    <row r="143" spans="6:6" ht="33" customHeight="1" x14ac:dyDescent="0.3">
      <c r="F143" s="6">
        <v>46164</v>
      </c>
    </row>
    <row r="144" spans="6:6" ht="33" customHeight="1" x14ac:dyDescent="0.3">
      <c r="F144" s="6">
        <v>46165</v>
      </c>
    </row>
    <row r="145" spans="6:6" ht="33" customHeight="1" x14ac:dyDescent="0.3">
      <c r="F145" s="6">
        <v>46166</v>
      </c>
    </row>
    <row r="146" spans="6:6" ht="33" customHeight="1" x14ac:dyDescent="0.3">
      <c r="F146" s="6">
        <v>46167</v>
      </c>
    </row>
    <row r="147" spans="6:6" ht="33" customHeight="1" x14ac:dyDescent="0.3">
      <c r="F147" s="6">
        <v>46168</v>
      </c>
    </row>
    <row r="148" spans="6:6" ht="33" customHeight="1" x14ac:dyDescent="0.3">
      <c r="F148" s="6">
        <v>46169</v>
      </c>
    </row>
    <row r="149" spans="6:6" ht="33" customHeight="1" x14ac:dyDescent="0.3">
      <c r="F149" s="6">
        <v>46170</v>
      </c>
    </row>
    <row r="150" spans="6:6" ht="33" customHeight="1" x14ac:dyDescent="0.3">
      <c r="F150" s="6">
        <v>46171</v>
      </c>
    </row>
    <row r="151" spans="6:6" ht="33" customHeight="1" x14ac:dyDescent="0.3">
      <c r="F151" s="6">
        <v>46172</v>
      </c>
    </row>
    <row r="152" spans="6:6" ht="33" customHeight="1" x14ac:dyDescent="0.3">
      <c r="F152" s="6">
        <v>46173</v>
      </c>
    </row>
    <row r="153" spans="6:6" ht="33" customHeight="1" x14ac:dyDescent="0.3">
      <c r="F153" s="6">
        <v>46174</v>
      </c>
    </row>
    <row r="154" spans="6:6" ht="33" customHeight="1" x14ac:dyDescent="0.3">
      <c r="F154" s="6">
        <v>46175</v>
      </c>
    </row>
    <row r="155" spans="6:6" ht="33" customHeight="1" x14ac:dyDescent="0.3">
      <c r="F155" s="6">
        <v>46176</v>
      </c>
    </row>
    <row r="156" spans="6:6" ht="33" customHeight="1" x14ac:dyDescent="0.3">
      <c r="F156" s="6">
        <v>46177</v>
      </c>
    </row>
    <row r="157" spans="6:6" ht="33" customHeight="1" x14ac:dyDescent="0.3">
      <c r="F157" s="6">
        <v>46178</v>
      </c>
    </row>
    <row r="158" spans="6:6" ht="33" customHeight="1" x14ac:dyDescent="0.3">
      <c r="F158" s="6">
        <v>46179</v>
      </c>
    </row>
    <row r="159" spans="6:6" ht="33" customHeight="1" x14ac:dyDescent="0.3">
      <c r="F159" s="6">
        <v>46180</v>
      </c>
    </row>
    <row r="160" spans="6:6" ht="33" customHeight="1" x14ac:dyDescent="0.3">
      <c r="F160" s="6">
        <v>46181</v>
      </c>
    </row>
    <row r="161" spans="6:6" ht="33" customHeight="1" x14ac:dyDescent="0.3">
      <c r="F161" s="6">
        <v>46182</v>
      </c>
    </row>
    <row r="162" spans="6:6" ht="33" customHeight="1" x14ac:dyDescent="0.3">
      <c r="F162" s="6">
        <v>46183</v>
      </c>
    </row>
    <row r="163" spans="6:6" ht="33" customHeight="1" x14ac:dyDescent="0.3">
      <c r="F163" s="6">
        <v>46184</v>
      </c>
    </row>
    <row r="164" spans="6:6" ht="33" customHeight="1" x14ac:dyDescent="0.3">
      <c r="F164" s="6">
        <v>46185</v>
      </c>
    </row>
    <row r="165" spans="6:6" ht="33" customHeight="1" x14ac:dyDescent="0.3">
      <c r="F165" s="6">
        <v>46186</v>
      </c>
    </row>
    <row r="166" spans="6:6" ht="33" customHeight="1" x14ac:dyDescent="0.3">
      <c r="F166" s="6">
        <v>46187</v>
      </c>
    </row>
    <row r="167" spans="6:6" ht="33" customHeight="1" x14ac:dyDescent="0.3">
      <c r="F167" s="6">
        <v>46188</v>
      </c>
    </row>
    <row r="168" spans="6:6" ht="33" customHeight="1" x14ac:dyDescent="0.3">
      <c r="F168" s="6">
        <v>46189</v>
      </c>
    </row>
    <row r="169" spans="6:6" ht="33" customHeight="1" x14ac:dyDescent="0.3">
      <c r="F169" s="6">
        <v>46190</v>
      </c>
    </row>
    <row r="170" spans="6:6" ht="33" customHeight="1" x14ac:dyDescent="0.3">
      <c r="F170" s="6">
        <v>46191</v>
      </c>
    </row>
    <row r="171" spans="6:6" ht="33" customHeight="1" x14ac:dyDescent="0.3">
      <c r="F171" s="6">
        <v>46192</v>
      </c>
    </row>
    <row r="172" spans="6:6" ht="33" customHeight="1" x14ac:dyDescent="0.3">
      <c r="F172" s="6">
        <v>46193</v>
      </c>
    </row>
    <row r="173" spans="6:6" ht="33" customHeight="1" x14ac:dyDescent="0.3">
      <c r="F173" s="6">
        <v>46194</v>
      </c>
    </row>
    <row r="174" spans="6:6" ht="33" customHeight="1" x14ac:dyDescent="0.3">
      <c r="F174" s="6">
        <v>46195</v>
      </c>
    </row>
    <row r="175" spans="6:6" ht="33" customHeight="1" x14ac:dyDescent="0.3">
      <c r="F175" s="6">
        <v>46196</v>
      </c>
    </row>
    <row r="176" spans="6:6" ht="33" customHeight="1" x14ac:dyDescent="0.3">
      <c r="F176" s="6">
        <v>46197</v>
      </c>
    </row>
    <row r="177" spans="6:6" ht="33" customHeight="1" x14ac:dyDescent="0.3">
      <c r="F177" s="6">
        <v>46198</v>
      </c>
    </row>
    <row r="178" spans="6:6" ht="33" customHeight="1" x14ac:dyDescent="0.3">
      <c r="F178" s="6">
        <v>46199</v>
      </c>
    </row>
    <row r="179" spans="6:6" ht="33" customHeight="1" x14ac:dyDescent="0.3">
      <c r="F179" s="6">
        <v>46200</v>
      </c>
    </row>
    <row r="180" spans="6:6" ht="33" customHeight="1" x14ac:dyDescent="0.3">
      <c r="F180" s="6">
        <v>46201</v>
      </c>
    </row>
    <row r="181" spans="6:6" ht="33" customHeight="1" x14ac:dyDescent="0.3">
      <c r="F181" s="6">
        <v>46202</v>
      </c>
    </row>
    <row r="182" spans="6:6" ht="33" customHeight="1" x14ac:dyDescent="0.3">
      <c r="F182" s="6">
        <v>46203</v>
      </c>
    </row>
    <row r="183" spans="6:6" ht="33" customHeight="1" x14ac:dyDescent="0.3">
      <c r="F183" s="6">
        <v>46204</v>
      </c>
    </row>
    <row r="184" spans="6:6" ht="33" customHeight="1" x14ac:dyDescent="0.3">
      <c r="F184" s="6">
        <v>46205</v>
      </c>
    </row>
    <row r="185" spans="6:6" ht="33" customHeight="1" x14ac:dyDescent="0.3">
      <c r="F185" s="6">
        <v>46206</v>
      </c>
    </row>
    <row r="186" spans="6:6" ht="33" customHeight="1" x14ac:dyDescent="0.3">
      <c r="F186" s="6">
        <v>46207</v>
      </c>
    </row>
    <row r="187" spans="6:6" ht="33" customHeight="1" x14ac:dyDescent="0.3">
      <c r="F187" s="6">
        <v>46208</v>
      </c>
    </row>
    <row r="188" spans="6:6" ht="33" customHeight="1" x14ac:dyDescent="0.3">
      <c r="F188" s="6">
        <v>46209</v>
      </c>
    </row>
    <row r="189" spans="6:6" ht="33" customHeight="1" x14ac:dyDescent="0.3">
      <c r="F189" s="6">
        <v>46210</v>
      </c>
    </row>
    <row r="190" spans="6:6" ht="33" customHeight="1" x14ac:dyDescent="0.3">
      <c r="F190" s="6">
        <v>46211</v>
      </c>
    </row>
    <row r="191" spans="6:6" ht="33" customHeight="1" x14ac:dyDescent="0.3">
      <c r="F191" s="6">
        <v>46212</v>
      </c>
    </row>
    <row r="192" spans="6:6" ht="33" customHeight="1" x14ac:dyDescent="0.3">
      <c r="F192" s="6">
        <v>46213</v>
      </c>
    </row>
    <row r="193" spans="6:6" ht="33" customHeight="1" x14ac:dyDescent="0.3">
      <c r="F193" s="6">
        <v>46214</v>
      </c>
    </row>
    <row r="194" spans="6:6" ht="33" customHeight="1" x14ac:dyDescent="0.3">
      <c r="F194" s="6">
        <v>46215</v>
      </c>
    </row>
    <row r="195" spans="6:6" ht="33" customHeight="1" x14ac:dyDescent="0.3">
      <c r="F195" s="6">
        <v>46216</v>
      </c>
    </row>
    <row r="196" spans="6:6" ht="33" customHeight="1" x14ac:dyDescent="0.3">
      <c r="F196" s="6">
        <v>46217</v>
      </c>
    </row>
    <row r="197" spans="6:6" ht="33" customHeight="1" x14ac:dyDescent="0.3">
      <c r="F197" s="6">
        <v>46218</v>
      </c>
    </row>
    <row r="198" spans="6:6" ht="33" customHeight="1" x14ac:dyDescent="0.3">
      <c r="F198" s="6">
        <v>46219</v>
      </c>
    </row>
    <row r="199" spans="6:6" ht="33" customHeight="1" x14ac:dyDescent="0.3">
      <c r="F199" s="6">
        <v>46220</v>
      </c>
    </row>
    <row r="200" spans="6:6" ht="33" customHeight="1" x14ac:dyDescent="0.3">
      <c r="F200" s="6">
        <v>46221</v>
      </c>
    </row>
    <row r="201" spans="6:6" ht="33" customHeight="1" x14ac:dyDescent="0.3">
      <c r="F201" s="6">
        <v>46222</v>
      </c>
    </row>
    <row r="202" spans="6:6" ht="33" customHeight="1" x14ac:dyDescent="0.3">
      <c r="F202" s="6">
        <v>46223</v>
      </c>
    </row>
    <row r="203" spans="6:6" ht="33" customHeight="1" x14ac:dyDescent="0.3">
      <c r="F203" s="6">
        <v>46224</v>
      </c>
    </row>
    <row r="204" spans="6:6" ht="33" customHeight="1" x14ac:dyDescent="0.3">
      <c r="F204" s="6">
        <v>46225</v>
      </c>
    </row>
    <row r="205" spans="6:6" ht="33" customHeight="1" x14ac:dyDescent="0.3">
      <c r="F205" s="6">
        <v>46226</v>
      </c>
    </row>
    <row r="206" spans="6:6" ht="33" customHeight="1" x14ac:dyDescent="0.3">
      <c r="F206" s="6">
        <v>46227</v>
      </c>
    </row>
    <row r="207" spans="6:6" ht="33" customHeight="1" x14ac:dyDescent="0.3">
      <c r="F207" s="6">
        <v>46228</v>
      </c>
    </row>
    <row r="208" spans="6:6" ht="33" customHeight="1" x14ac:dyDescent="0.3">
      <c r="F208" s="6">
        <v>46229</v>
      </c>
    </row>
    <row r="209" spans="6:6" ht="33" customHeight="1" x14ac:dyDescent="0.3">
      <c r="F209" s="6">
        <v>46230</v>
      </c>
    </row>
    <row r="210" spans="6:6" ht="33" customHeight="1" x14ac:dyDescent="0.3">
      <c r="F210" s="6">
        <v>46231</v>
      </c>
    </row>
    <row r="211" spans="6:6" ht="33" customHeight="1" x14ac:dyDescent="0.3">
      <c r="F211" s="6">
        <v>46232</v>
      </c>
    </row>
    <row r="212" spans="6:6" ht="33" customHeight="1" x14ac:dyDescent="0.3">
      <c r="F212" s="6">
        <v>46233</v>
      </c>
    </row>
    <row r="213" spans="6:6" ht="33" customHeight="1" x14ac:dyDescent="0.3">
      <c r="F213" s="6">
        <v>46234</v>
      </c>
    </row>
    <row r="214" spans="6:6" ht="33" customHeight="1" x14ac:dyDescent="0.3">
      <c r="F214" s="6">
        <v>46235</v>
      </c>
    </row>
    <row r="215" spans="6:6" ht="33" customHeight="1" x14ac:dyDescent="0.3">
      <c r="F215" s="6">
        <v>46236</v>
      </c>
    </row>
    <row r="216" spans="6:6" ht="33" customHeight="1" x14ac:dyDescent="0.3">
      <c r="F216" s="6">
        <v>46237</v>
      </c>
    </row>
    <row r="217" spans="6:6" ht="33" customHeight="1" x14ac:dyDescent="0.3">
      <c r="F217" s="6">
        <v>46238</v>
      </c>
    </row>
    <row r="218" spans="6:6" ht="33" customHeight="1" x14ac:dyDescent="0.3">
      <c r="F218" s="6">
        <v>46239</v>
      </c>
    </row>
    <row r="219" spans="6:6" ht="33" customHeight="1" x14ac:dyDescent="0.3">
      <c r="F219" s="6">
        <v>46240</v>
      </c>
    </row>
    <row r="220" spans="6:6" ht="33" customHeight="1" x14ac:dyDescent="0.3">
      <c r="F220" s="6">
        <v>46241</v>
      </c>
    </row>
    <row r="221" spans="6:6" ht="33" customHeight="1" x14ac:dyDescent="0.3">
      <c r="F221" s="6">
        <v>46242</v>
      </c>
    </row>
    <row r="222" spans="6:6" ht="33" customHeight="1" x14ac:dyDescent="0.3">
      <c r="F222" s="6">
        <v>46243</v>
      </c>
    </row>
    <row r="223" spans="6:6" ht="33" customHeight="1" x14ac:dyDescent="0.3">
      <c r="F223" s="6">
        <v>46244</v>
      </c>
    </row>
    <row r="224" spans="6:6" ht="33" customHeight="1" x14ac:dyDescent="0.3">
      <c r="F224" s="6">
        <v>46245</v>
      </c>
    </row>
    <row r="225" spans="6:6" ht="33" customHeight="1" x14ac:dyDescent="0.3">
      <c r="F225" s="6">
        <v>46246</v>
      </c>
    </row>
    <row r="226" spans="6:6" ht="33" customHeight="1" x14ac:dyDescent="0.3">
      <c r="F226" s="6">
        <v>46247</v>
      </c>
    </row>
    <row r="227" spans="6:6" ht="33" customHeight="1" x14ac:dyDescent="0.3">
      <c r="F227" s="6">
        <v>46248</v>
      </c>
    </row>
    <row r="228" spans="6:6" ht="33" customHeight="1" x14ac:dyDescent="0.3">
      <c r="F228" s="6">
        <v>46249</v>
      </c>
    </row>
    <row r="229" spans="6:6" ht="33" customHeight="1" x14ac:dyDescent="0.3">
      <c r="F229" s="6">
        <v>46250</v>
      </c>
    </row>
    <row r="230" spans="6:6" ht="33" customHeight="1" x14ac:dyDescent="0.3">
      <c r="F230" s="6">
        <v>46251</v>
      </c>
    </row>
    <row r="231" spans="6:6" ht="33" customHeight="1" x14ac:dyDescent="0.3">
      <c r="F231" s="6">
        <v>46252</v>
      </c>
    </row>
    <row r="232" spans="6:6" ht="33" customHeight="1" x14ac:dyDescent="0.3">
      <c r="F232" s="6">
        <v>46253</v>
      </c>
    </row>
    <row r="233" spans="6:6" ht="33" customHeight="1" x14ac:dyDescent="0.3">
      <c r="F233" s="6">
        <v>46254</v>
      </c>
    </row>
    <row r="234" spans="6:6" ht="33" customHeight="1" x14ac:dyDescent="0.3">
      <c r="F234" s="6">
        <v>46255</v>
      </c>
    </row>
    <row r="235" spans="6:6" ht="33" customHeight="1" x14ac:dyDescent="0.3">
      <c r="F235" s="6">
        <v>46256</v>
      </c>
    </row>
    <row r="236" spans="6:6" ht="33" customHeight="1" x14ac:dyDescent="0.3">
      <c r="F236" s="6">
        <v>46257</v>
      </c>
    </row>
    <row r="237" spans="6:6" ht="33" customHeight="1" x14ac:dyDescent="0.3">
      <c r="F237" s="6">
        <v>46258</v>
      </c>
    </row>
    <row r="238" spans="6:6" ht="33" customHeight="1" x14ac:dyDescent="0.3">
      <c r="F238" s="6">
        <v>46259</v>
      </c>
    </row>
    <row r="239" spans="6:6" ht="33" customHeight="1" x14ac:dyDescent="0.3">
      <c r="F239" s="6">
        <v>46260</v>
      </c>
    </row>
    <row r="240" spans="6:6" ht="33" customHeight="1" x14ac:dyDescent="0.3">
      <c r="F240" s="6">
        <v>46261</v>
      </c>
    </row>
    <row r="241" spans="6:6" ht="33" customHeight="1" x14ac:dyDescent="0.3">
      <c r="F241" s="6">
        <v>46262</v>
      </c>
    </row>
    <row r="242" spans="6:6" ht="33" customHeight="1" x14ac:dyDescent="0.3">
      <c r="F242" s="6">
        <v>46263</v>
      </c>
    </row>
    <row r="243" spans="6:6" ht="33" customHeight="1" x14ac:dyDescent="0.3">
      <c r="F243" s="6">
        <v>46264</v>
      </c>
    </row>
    <row r="244" spans="6:6" ht="33" customHeight="1" x14ac:dyDescent="0.3">
      <c r="F244" s="6">
        <v>46265</v>
      </c>
    </row>
    <row r="245" spans="6:6" ht="33" customHeight="1" x14ac:dyDescent="0.3">
      <c r="F245" s="6">
        <v>46266</v>
      </c>
    </row>
    <row r="246" spans="6:6" ht="33" customHeight="1" x14ac:dyDescent="0.3">
      <c r="F246" s="6">
        <v>46267</v>
      </c>
    </row>
    <row r="247" spans="6:6" ht="33" customHeight="1" x14ac:dyDescent="0.3">
      <c r="F247" s="6">
        <v>46268</v>
      </c>
    </row>
    <row r="248" spans="6:6" ht="33" customHeight="1" x14ac:dyDescent="0.3">
      <c r="F248" s="6">
        <v>46269</v>
      </c>
    </row>
    <row r="249" spans="6:6" ht="33" customHeight="1" x14ac:dyDescent="0.3">
      <c r="F249" s="6">
        <v>46270</v>
      </c>
    </row>
    <row r="250" spans="6:6" ht="33" customHeight="1" x14ac:dyDescent="0.3">
      <c r="F250" s="6">
        <v>46271</v>
      </c>
    </row>
    <row r="251" spans="6:6" ht="33" customHeight="1" x14ac:dyDescent="0.3">
      <c r="F251" s="6">
        <v>46272</v>
      </c>
    </row>
    <row r="252" spans="6:6" ht="33" customHeight="1" x14ac:dyDescent="0.3">
      <c r="F252" s="6">
        <v>46273</v>
      </c>
    </row>
    <row r="253" spans="6:6" ht="33" customHeight="1" x14ac:dyDescent="0.3">
      <c r="F253" s="6">
        <v>46274</v>
      </c>
    </row>
    <row r="254" spans="6:6" ht="33" customHeight="1" x14ac:dyDescent="0.3">
      <c r="F254" s="6">
        <v>46275</v>
      </c>
    </row>
    <row r="255" spans="6:6" ht="33" customHeight="1" x14ac:dyDescent="0.3">
      <c r="F255" s="6">
        <v>46276</v>
      </c>
    </row>
    <row r="256" spans="6:6" ht="33" customHeight="1" x14ac:dyDescent="0.3">
      <c r="F256" s="6">
        <v>46277</v>
      </c>
    </row>
    <row r="257" spans="6:6" ht="33" customHeight="1" x14ac:dyDescent="0.3">
      <c r="F257" s="6">
        <v>46278</v>
      </c>
    </row>
    <row r="258" spans="6:6" ht="33" customHeight="1" x14ac:dyDescent="0.3">
      <c r="F258" s="6">
        <v>46279</v>
      </c>
    </row>
    <row r="259" spans="6:6" ht="33" customHeight="1" x14ac:dyDescent="0.3">
      <c r="F259" s="6">
        <v>46280</v>
      </c>
    </row>
    <row r="260" spans="6:6" ht="33" customHeight="1" x14ac:dyDescent="0.3">
      <c r="F260" s="6">
        <v>46281</v>
      </c>
    </row>
    <row r="261" spans="6:6" ht="33" customHeight="1" x14ac:dyDescent="0.3">
      <c r="F261" s="6">
        <v>46282</v>
      </c>
    </row>
    <row r="262" spans="6:6" ht="33" customHeight="1" x14ac:dyDescent="0.3">
      <c r="F262" s="6">
        <v>46283</v>
      </c>
    </row>
    <row r="263" spans="6:6" ht="33" customHeight="1" x14ac:dyDescent="0.3">
      <c r="F263" s="6">
        <v>46284</v>
      </c>
    </row>
    <row r="264" spans="6:6" ht="33" customHeight="1" x14ac:dyDescent="0.3">
      <c r="F264" s="6">
        <v>46285</v>
      </c>
    </row>
    <row r="265" spans="6:6" ht="33" customHeight="1" x14ac:dyDescent="0.3">
      <c r="F265" s="6">
        <v>46286</v>
      </c>
    </row>
    <row r="266" spans="6:6" ht="33" customHeight="1" x14ac:dyDescent="0.3">
      <c r="F266" s="6">
        <v>46287</v>
      </c>
    </row>
    <row r="267" spans="6:6" ht="33" customHeight="1" x14ac:dyDescent="0.3">
      <c r="F267" s="6">
        <v>46288</v>
      </c>
    </row>
    <row r="268" spans="6:6" ht="33" customHeight="1" x14ac:dyDescent="0.3">
      <c r="F268" s="6">
        <v>46289</v>
      </c>
    </row>
    <row r="269" spans="6:6" ht="33" customHeight="1" x14ac:dyDescent="0.3">
      <c r="F269" s="6">
        <v>46290</v>
      </c>
    </row>
    <row r="270" spans="6:6" ht="33" customHeight="1" x14ac:dyDescent="0.3">
      <c r="F270" s="6">
        <v>46291</v>
      </c>
    </row>
    <row r="271" spans="6:6" ht="33" customHeight="1" x14ac:dyDescent="0.3">
      <c r="F271" s="6">
        <v>46292</v>
      </c>
    </row>
    <row r="272" spans="6:6" ht="33" customHeight="1" x14ac:dyDescent="0.3">
      <c r="F272" s="6">
        <v>46293</v>
      </c>
    </row>
    <row r="273" spans="6:6" ht="33" customHeight="1" x14ac:dyDescent="0.3">
      <c r="F273" s="6">
        <v>46294</v>
      </c>
    </row>
    <row r="274" spans="6:6" ht="33" customHeight="1" x14ac:dyDescent="0.3">
      <c r="F274" s="6">
        <v>46295</v>
      </c>
    </row>
    <row r="275" spans="6:6" ht="33" customHeight="1" x14ac:dyDescent="0.3">
      <c r="F275" s="6">
        <v>46296</v>
      </c>
    </row>
    <row r="276" spans="6:6" ht="33" customHeight="1" x14ac:dyDescent="0.3">
      <c r="F276" s="6">
        <v>46297</v>
      </c>
    </row>
    <row r="277" spans="6:6" ht="33" customHeight="1" x14ac:dyDescent="0.3">
      <c r="F277" s="6">
        <v>46298</v>
      </c>
    </row>
    <row r="278" spans="6:6" ht="33" customHeight="1" x14ac:dyDescent="0.3">
      <c r="F278" s="6">
        <v>46299</v>
      </c>
    </row>
    <row r="279" spans="6:6" ht="33" customHeight="1" x14ac:dyDescent="0.3">
      <c r="F279" s="6">
        <v>46300</v>
      </c>
    </row>
    <row r="280" spans="6:6" ht="33" customHeight="1" x14ac:dyDescent="0.3">
      <c r="F280" s="6">
        <v>46301</v>
      </c>
    </row>
    <row r="281" spans="6:6" ht="33" customHeight="1" x14ac:dyDescent="0.3">
      <c r="F281" s="6">
        <v>46302</v>
      </c>
    </row>
    <row r="282" spans="6:6" ht="33" customHeight="1" x14ac:dyDescent="0.3">
      <c r="F282" s="6">
        <v>46303</v>
      </c>
    </row>
    <row r="283" spans="6:6" ht="33" customHeight="1" x14ac:dyDescent="0.3">
      <c r="F283" s="6">
        <v>46304</v>
      </c>
    </row>
    <row r="284" spans="6:6" ht="33" customHeight="1" x14ac:dyDescent="0.3">
      <c r="F284" s="6">
        <v>46305</v>
      </c>
    </row>
    <row r="285" spans="6:6" ht="33" customHeight="1" x14ac:dyDescent="0.3">
      <c r="F285" s="6">
        <v>46306</v>
      </c>
    </row>
    <row r="286" spans="6:6" ht="33" customHeight="1" x14ac:dyDescent="0.3">
      <c r="F286" s="6">
        <v>46307</v>
      </c>
    </row>
    <row r="287" spans="6:6" ht="33" customHeight="1" x14ac:dyDescent="0.3">
      <c r="F287" s="6">
        <v>46308</v>
      </c>
    </row>
    <row r="288" spans="6:6" ht="33" customHeight="1" x14ac:dyDescent="0.3">
      <c r="F288" s="6">
        <v>46309</v>
      </c>
    </row>
    <row r="289" spans="6:6" ht="33" customHeight="1" x14ac:dyDescent="0.3">
      <c r="F289" s="6">
        <v>46310</v>
      </c>
    </row>
    <row r="290" spans="6:6" ht="33" customHeight="1" x14ac:dyDescent="0.3">
      <c r="F290" s="6">
        <v>46311</v>
      </c>
    </row>
    <row r="291" spans="6:6" ht="33" customHeight="1" x14ac:dyDescent="0.3">
      <c r="F291" s="6">
        <v>46312</v>
      </c>
    </row>
    <row r="292" spans="6:6" ht="33" customHeight="1" x14ac:dyDescent="0.3">
      <c r="F292" s="6">
        <v>46313</v>
      </c>
    </row>
    <row r="293" spans="6:6" ht="33" customHeight="1" x14ac:dyDescent="0.3">
      <c r="F293" s="6">
        <v>46314</v>
      </c>
    </row>
    <row r="294" spans="6:6" ht="33" customHeight="1" x14ac:dyDescent="0.3">
      <c r="F294" s="6">
        <v>46315</v>
      </c>
    </row>
    <row r="295" spans="6:6" ht="33" customHeight="1" x14ac:dyDescent="0.3">
      <c r="F295" s="6">
        <v>46316</v>
      </c>
    </row>
    <row r="296" spans="6:6" ht="33" customHeight="1" x14ac:dyDescent="0.3">
      <c r="F296" s="6">
        <v>46317</v>
      </c>
    </row>
    <row r="297" spans="6:6" ht="33" customHeight="1" x14ac:dyDescent="0.3">
      <c r="F297" s="6">
        <v>46318</v>
      </c>
    </row>
    <row r="298" spans="6:6" ht="33" customHeight="1" x14ac:dyDescent="0.3">
      <c r="F298" s="6">
        <v>46319</v>
      </c>
    </row>
    <row r="299" spans="6:6" ht="33" customHeight="1" x14ac:dyDescent="0.3">
      <c r="F299" s="6">
        <v>46320</v>
      </c>
    </row>
    <row r="300" spans="6:6" ht="33" customHeight="1" x14ac:dyDescent="0.3">
      <c r="F300" s="6">
        <v>46321</v>
      </c>
    </row>
    <row r="301" spans="6:6" ht="33" customHeight="1" x14ac:dyDescent="0.3">
      <c r="F301" s="6">
        <v>46322</v>
      </c>
    </row>
    <row r="302" spans="6:6" ht="33" customHeight="1" x14ac:dyDescent="0.3">
      <c r="F302" s="6">
        <v>46323</v>
      </c>
    </row>
    <row r="303" spans="6:6" ht="33" customHeight="1" x14ac:dyDescent="0.3">
      <c r="F303" s="6">
        <v>46324</v>
      </c>
    </row>
    <row r="304" spans="6:6" ht="33" customHeight="1" x14ac:dyDescent="0.3">
      <c r="F304" s="6">
        <v>46325</v>
      </c>
    </row>
    <row r="305" spans="6:6" ht="33" customHeight="1" x14ac:dyDescent="0.3">
      <c r="F305" s="6">
        <v>46326</v>
      </c>
    </row>
    <row r="306" spans="6:6" ht="33" customHeight="1" x14ac:dyDescent="0.3">
      <c r="F306" s="6">
        <v>46327</v>
      </c>
    </row>
    <row r="307" spans="6:6" ht="33" customHeight="1" x14ac:dyDescent="0.3">
      <c r="F307" s="6">
        <v>46328</v>
      </c>
    </row>
    <row r="308" spans="6:6" ht="33" customHeight="1" x14ac:dyDescent="0.3">
      <c r="F308" s="6">
        <v>46329</v>
      </c>
    </row>
    <row r="309" spans="6:6" ht="33" customHeight="1" x14ac:dyDescent="0.3">
      <c r="F309" s="6">
        <v>46330</v>
      </c>
    </row>
    <row r="310" spans="6:6" ht="33" customHeight="1" x14ac:dyDescent="0.3">
      <c r="F310" s="6">
        <v>46331</v>
      </c>
    </row>
    <row r="311" spans="6:6" ht="33" customHeight="1" x14ac:dyDescent="0.3">
      <c r="F311" s="6">
        <v>46332</v>
      </c>
    </row>
    <row r="312" spans="6:6" ht="33" customHeight="1" x14ac:dyDescent="0.3">
      <c r="F312" s="6">
        <v>46333</v>
      </c>
    </row>
    <row r="313" spans="6:6" ht="33" customHeight="1" x14ac:dyDescent="0.3">
      <c r="F313" s="6">
        <v>46334</v>
      </c>
    </row>
    <row r="314" spans="6:6" ht="33" customHeight="1" x14ac:dyDescent="0.3">
      <c r="F314" s="6">
        <v>46335</v>
      </c>
    </row>
    <row r="315" spans="6:6" ht="33" customHeight="1" x14ac:dyDescent="0.3">
      <c r="F315" s="6">
        <v>46336</v>
      </c>
    </row>
    <row r="316" spans="6:6" ht="33" customHeight="1" x14ac:dyDescent="0.3">
      <c r="F316" s="6">
        <v>46337</v>
      </c>
    </row>
    <row r="317" spans="6:6" ht="33" customHeight="1" x14ac:dyDescent="0.3">
      <c r="F317" s="6">
        <v>46338</v>
      </c>
    </row>
    <row r="318" spans="6:6" ht="33" customHeight="1" x14ac:dyDescent="0.3">
      <c r="F318" s="6">
        <v>46339</v>
      </c>
    </row>
    <row r="319" spans="6:6" ht="33" customHeight="1" x14ac:dyDescent="0.3">
      <c r="F319" s="6">
        <v>46340</v>
      </c>
    </row>
    <row r="320" spans="6:6" ht="33" customHeight="1" x14ac:dyDescent="0.3">
      <c r="F320" s="6">
        <v>46341</v>
      </c>
    </row>
    <row r="321" spans="6:6" ht="33" customHeight="1" x14ac:dyDescent="0.3">
      <c r="F321" s="6">
        <v>46342</v>
      </c>
    </row>
    <row r="322" spans="6:6" ht="33" customHeight="1" x14ac:dyDescent="0.3">
      <c r="F322" s="6">
        <v>46343</v>
      </c>
    </row>
    <row r="323" spans="6:6" ht="33" customHeight="1" x14ac:dyDescent="0.3">
      <c r="F323" s="6">
        <v>46344</v>
      </c>
    </row>
    <row r="324" spans="6:6" ht="33" customHeight="1" x14ac:dyDescent="0.3">
      <c r="F324" s="6">
        <v>46345</v>
      </c>
    </row>
    <row r="325" spans="6:6" ht="33" customHeight="1" x14ac:dyDescent="0.3">
      <c r="F325" s="6">
        <v>46346</v>
      </c>
    </row>
    <row r="326" spans="6:6" ht="33" customHeight="1" x14ac:dyDescent="0.3">
      <c r="F326" s="6">
        <v>46347</v>
      </c>
    </row>
    <row r="327" spans="6:6" ht="33" customHeight="1" x14ac:dyDescent="0.3">
      <c r="F327" s="6">
        <v>46348</v>
      </c>
    </row>
    <row r="328" spans="6:6" ht="33" customHeight="1" x14ac:dyDescent="0.3">
      <c r="F328" s="6">
        <v>46349</v>
      </c>
    </row>
    <row r="329" spans="6:6" ht="33" customHeight="1" x14ac:dyDescent="0.3">
      <c r="F329" s="6">
        <v>46350</v>
      </c>
    </row>
    <row r="330" spans="6:6" ht="33" customHeight="1" x14ac:dyDescent="0.3">
      <c r="F330" s="6">
        <v>46351</v>
      </c>
    </row>
    <row r="331" spans="6:6" ht="33" customHeight="1" x14ac:dyDescent="0.3">
      <c r="F331" s="6">
        <v>46352</v>
      </c>
    </row>
    <row r="332" spans="6:6" ht="33" customHeight="1" x14ac:dyDescent="0.3">
      <c r="F332" s="6">
        <v>46353</v>
      </c>
    </row>
    <row r="333" spans="6:6" ht="33" customHeight="1" x14ac:dyDescent="0.3">
      <c r="F333" s="6">
        <v>46354</v>
      </c>
    </row>
    <row r="334" spans="6:6" ht="33" customHeight="1" x14ac:dyDescent="0.3">
      <c r="F334" s="6">
        <v>46355</v>
      </c>
    </row>
    <row r="335" spans="6:6" ht="33" customHeight="1" x14ac:dyDescent="0.3">
      <c r="F335" s="6">
        <v>46356</v>
      </c>
    </row>
    <row r="336" spans="6:6" ht="33" customHeight="1" x14ac:dyDescent="0.3">
      <c r="F336" s="6">
        <v>46357</v>
      </c>
    </row>
    <row r="337" spans="6:6" ht="33" customHeight="1" x14ac:dyDescent="0.3">
      <c r="F337" s="6">
        <v>46358</v>
      </c>
    </row>
    <row r="338" spans="6:6" ht="33" customHeight="1" x14ac:dyDescent="0.3">
      <c r="F338" s="6">
        <v>46359</v>
      </c>
    </row>
    <row r="339" spans="6:6" ht="33" customHeight="1" x14ac:dyDescent="0.3">
      <c r="F339" s="6">
        <v>46360</v>
      </c>
    </row>
    <row r="340" spans="6:6" ht="33" customHeight="1" x14ac:dyDescent="0.3">
      <c r="F340" s="6">
        <v>46361</v>
      </c>
    </row>
    <row r="341" spans="6:6" ht="33" customHeight="1" x14ac:dyDescent="0.3">
      <c r="F341" s="6">
        <v>46362</v>
      </c>
    </row>
    <row r="342" spans="6:6" ht="33" customHeight="1" x14ac:dyDescent="0.3">
      <c r="F342" s="6">
        <v>46363</v>
      </c>
    </row>
    <row r="343" spans="6:6" ht="33" customHeight="1" x14ac:dyDescent="0.3">
      <c r="F343" s="6">
        <v>46364</v>
      </c>
    </row>
    <row r="344" spans="6:6" ht="33" customHeight="1" x14ac:dyDescent="0.3">
      <c r="F344" s="6">
        <v>46365</v>
      </c>
    </row>
    <row r="345" spans="6:6" ht="33" customHeight="1" x14ac:dyDescent="0.3">
      <c r="F345" s="6">
        <v>46366</v>
      </c>
    </row>
    <row r="346" spans="6:6" ht="33" customHeight="1" x14ac:dyDescent="0.3">
      <c r="F346" s="6">
        <v>46367</v>
      </c>
    </row>
    <row r="347" spans="6:6" ht="33" customHeight="1" x14ac:dyDescent="0.3">
      <c r="F347" s="6">
        <v>46368</v>
      </c>
    </row>
    <row r="348" spans="6:6" ht="33" customHeight="1" x14ac:dyDescent="0.3">
      <c r="F348" s="6">
        <v>46369</v>
      </c>
    </row>
    <row r="349" spans="6:6" ht="33" customHeight="1" x14ac:dyDescent="0.3">
      <c r="F349" s="6">
        <v>46370</v>
      </c>
    </row>
    <row r="350" spans="6:6" ht="33" customHeight="1" x14ac:dyDescent="0.3">
      <c r="F350" s="6">
        <v>46371</v>
      </c>
    </row>
    <row r="351" spans="6:6" ht="33" customHeight="1" x14ac:dyDescent="0.3">
      <c r="F351" s="6">
        <v>46372</v>
      </c>
    </row>
    <row r="352" spans="6:6" ht="33" customHeight="1" x14ac:dyDescent="0.3">
      <c r="F352" s="6">
        <v>46373</v>
      </c>
    </row>
    <row r="353" spans="6:20" ht="33" customHeight="1" x14ac:dyDescent="0.3">
      <c r="F353" s="6">
        <v>46374</v>
      </c>
    </row>
    <row r="354" spans="6:20" ht="33" customHeight="1" x14ac:dyDescent="0.3">
      <c r="F354" s="6">
        <v>46375</v>
      </c>
    </row>
    <row r="355" spans="6:20" ht="33" customHeight="1" x14ac:dyDescent="0.3">
      <c r="F355" s="6">
        <v>46376</v>
      </c>
    </row>
    <row r="356" spans="6:20" ht="33" customHeight="1" x14ac:dyDescent="0.3">
      <c r="F356" s="6">
        <v>46377</v>
      </c>
    </row>
    <row r="357" spans="6:20" ht="33" customHeight="1" x14ac:dyDescent="0.3">
      <c r="F357" s="6">
        <v>46378</v>
      </c>
    </row>
    <row r="358" spans="6:20" ht="33" customHeight="1" x14ac:dyDescent="0.3">
      <c r="F358" s="6">
        <v>46379</v>
      </c>
    </row>
    <row r="359" spans="6:20" ht="33" customHeight="1" x14ac:dyDescent="0.3">
      <c r="F359" s="6">
        <v>46380</v>
      </c>
    </row>
    <row r="360" spans="6:20" ht="33" customHeight="1" x14ac:dyDescent="0.3">
      <c r="F360" s="6">
        <v>46381</v>
      </c>
    </row>
    <row r="361" spans="6:20" ht="33" customHeight="1" x14ac:dyDescent="0.3">
      <c r="F361" s="6">
        <v>46382</v>
      </c>
    </row>
    <row r="362" spans="6:20" ht="33" customHeight="1" x14ac:dyDescent="0.3">
      <c r="F362" s="6">
        <v>46383</v>
      </c>
    </row>
    <row r="363" spans="6:20" ht="33" customHeight="1" x14ac:dyDescent="0.3">
      <c r="F363" s="6">
        <v>46384</v>
      </c>
    </row>
    <row r="364" spans="6:20" ht="33" customHeight="1" x14ac:dyDescent="0.3">
      <c r="F364" s="6">
        <v>46385</v>
      </c>
    </row>
    <row r="365" spans="6:20" ht="33" customHeight="1" x14ac:dyDescent="0.3">
      <c r="F365" s="6">
        <v>46386</v>
      </c>
    </row>
    <row r="366" spans="6:20" ht="33" customHeight="1" x14ac:dyDescent="0.3">
      <c r="F366" s="6">
        <v>46387</v>
      </c>
    </row>
    <row r="367" spans="6:20" ht="33" customHeight="1" x14ac:dyDescent="0.45">
      <c r="F367" s="3" t="s">
        <v>12</v>
      </c>
      <c r="G367" s="4">
        <f>SUM(G2:G366)</f>
        <v>0</v>
      </c>
      <c r="H367" s="4">
        <f>SUM(H2:H366)</f>
        <v>0</v>
      </c>
      <c r="I367" s="4">
        <f>SUM(I2:I366)</f>
        <v>0</v>
      </c>
      <c r="J367" s="4">
        <f>SUM(J2:J366)</f>
        <v>0</v>
      </c>
      <c r="K367" s="4">
        <f>SUM(K2:K366)</f>
        <v>0</v>
      </c>
      <c r="L367" s="4">
        <f t="shared" ref="L367:T367" si="1">SUM(L2:L366)</f>
        <v>0</v>
      </c>
      <c r="M367" s="4">
        <f t="shared" si="1"/>
        <v>0</v>
      </c>
      <c r="N367" s="4">
        <f t="shared" si="1"/>
        <v>1485</v>
      </c>
      <c r="O367" s="4">
        <f t="shared" si="1"/>
        <v>0</v>
      </c>
      <c r="P367" s="4">
        <f t="shared" si="1"/>
        <v>0</v>
      </c>
      <c r="Q367" s="4">
        <f t="shared" si="1"/>
        <v>0</v>
      </c>
      <c r="R367" s="4">
        <f t="shared" si="1"/>
        <v>0</v>
      </c>
      <c r="S367" s="4">
        <f t="shared" si="1"/>
        <v>0</v>
      </c>
      <c r="T367" s="4">
        <f t="shared" si="1"/>
        <v>0</v>
      </c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7"/>
  <sheetViews>
    <sheetView zoomScale="70" zoomScaleNormal="70" workbookViewId="0">
      <pane ySplit="1" topLeftCell="A17" activePane="bottomLeft" state="frozen"/>
      <selection activeCell="G1" sqref="G1"/>
      <selection pane="bottomLeft" activeCell="N37" sqref="N37"/>
    </sheetView>
  </sheetViews>
  <sheetFormatPr defaultRowHeight="14.4" x14ac:dyDescent="0.3"/>
  <cols>
    <col min="1" max="1" width="74.44140625" customWidth="1"/>
    <col min="2" max="2" width="26.109375" customWidth="1"/>
    <col min="3" max="3" width="44.44140625" customWidth="1"/>
    <col min="4" max="4" width="15" bestFit="1" customWidth="1"/>
    <col min="6" max="6" width="16.109375" customWidth="1"/>
    <col min="7" max="9" width="26" customWidth="1"/>
    <col min="10" max="11" width="24.5546875" customWidth="1"/>
    <col min="12" max="20" width="18.6640625" customWidth="1"/>
  </cols>
  <sheetData>
    <row r="1" spans="1:20" ht="33" customHeight="1" x14ac:dyDescent="0.5">
      <c r="A1" s="10" t="s">
        <v>5</v>
      </c>
      <c r="B1" s="23">
        <f>SUM(G367,I367,J367)</f>
        <v>1250.6799999999967</v>
      </c>
      <c r="F1" s="5" t="s">
        <v>3</v>
      </c>
      <c r="G1" s="7" t="s">
        <v>16</v>
      </c>
      <c r="H1" s="7" t="s">
        <v>35</v>
      </c>
      <c r="I1" s="7" t="s">
        <v>17</v>
      </c>
      <c r="J1" s="7" t="s">
        <v>18</v>
      </c>
      <c r="K1" s="7" t="s">
        <v>36</v>
      </c>
      <c r="L1" s="7" t="s">
        <v>6</v>
      </c>
      <c r="M1" s="7" t="s">
        <v>7</v>
      </c>
      <c r="N1" s="7" t="s">
        <v>11</v>
      </c>
      <c r="O1" s="7" t="s">
        <v>9</v>
      </c>
      <c r="P1" s="7" t="s">
        <v>10</v>
      </c>
      <c r="Q1" s="7" t="s">
        <v>13</v>
      </c>
      <c r="R1" s="7" t="s">
        <v>8</v>
      </c>
      <c r="S1" s="7" t="s">
        <v>14</v>
      </c>
      <c r="T1" s="7" t="s">
        <v>15</v>
      </c>
    </row>
    <row r="2" spans="1:20" ht="33" customHeight="1" x14ac:dyDescent="0.5">
      <c r="A2" s="11" t="s">
        <v>4</v>
      </c>
      <c r="B2" s="24">
        <f>SUM(I367,J367)</f>
        <v>24379.729999999996</v>
      </c>
      <c r="F2" s="6">
        <v>46023</v>
      </c>
    </row>
    <row r="3" spans="1:20" ht="33" customHeight="1" x14ac:dyDescent="0.5">
      <c r="A3" s="8" t="s">
        <v>19</v>
      </c>
      <c r="B3" s="25">
        <f>SUM(L367,M367,N367,O367,P367,Q367,R367,S367,T367)</f>
        <v>24899.030000000002</v>
      </c>
      <c r="F3" s="6">
        <v>46024</v>
      </c>
    </row>
    <row r="4" spans="1:20" ht="33" customHeight="1" x14ac:dyDescent="0.5">
      <c r="A4" s="13" t="s">
        <v>0</v>
      </c>
      <c r="B4" s="26">
        <f>K367</f>
        <v>3</v>
      </c>
      <c r="F4" s="6">
        <v>46025</v>
      </c>
    </row>
    <row r="5" spans="1:20" ht="33" customHeight="1" x14ac:dyDescent="0.5">
      <c r="A5" s="15" t="s">
        <v>1</v>
      </c>
      <c r="B5" s="27">
        <f>H367</f>
        <v>-2</v>
      </c>
      <c r="F5" s="6">
        <v>46026</v>
      </c>
    </row>
    <row r="6" spans="1:20" ht="33" customHeight="1" x14ac:dyDescent="0.5">
      <c r="A6" s="16" t="s">
        <v>20</v>
      </c>
      <c r="B6" s="44">
        <f>IF(B1+B3=0,0,B2/(B1+B3))</f>
        <v>0.93231358971093736</v>
      </c>
      <c r="F6" s="6">
        <v>46027</v>
      </c>
    </row>
    <row r="7" spans="1:20" ht="33" customHeight="1" x14ac:dyDescent="0.5">
      <c r="A7" s="18" t="s">
        <v>27</v>
      </c>
      <c r="B7" s="27" t="str">
        <f>IF(B6&lt;=0.699, "✅ Uygun", "❌ Aşıldı")</f>
        <v>❌ Aşıldı</v>
      </c>
      <c r="F7" s="6">
        <v>46028</v>
      </c>
      <c r="N7">
        <v>1737</v>
      </c>
    </row>
    <row r="8" spans="1:20" ht="33" customHeight="1" x14ac:dyDescent="0.5">
      <c r="A8" s="19" t="s">
        <v>22</v>
      </c>
      <c r="B8" s="26">
        <f>B4*0.3</f>
        <v>0.89999999999999991</v>
      </c>
      <c r="F8" s="6">
        <v>46029</v>
      </c>
    </row>
    <row r="9" spans="1:20" ht="33" customHeight="1" x14ac:dyDescent="0.5">
      <c r="A9" s="14" t="s">
        <v>2</v>
      </c>
      <c r="B9" s="27" t="str">
        <f>IF(B5&gt;=B8, "✅ Uygun", "❌ Yetersiz")</f>
        <v>❌ Yetersiz</v>
      </c>
      <c r="F9" s="6">
        <v>46030</v>
      </c>
    </row>
    <row r="10" spans="1:20" ht="33" customHeight="1" x14ac:dyDescent="0.5">
      <c r="A10" s="12" t="s">
        <v>26</v>
      </c>
      <c r="B10" s="28">
        <f>IF(B1=0,0,B1/0.799 - B1)-B3</f>
        <v>-24584.40336670839</v>
      </c>
      <c r="F10" s="6">
        <v>46031</v>
      </c>
      <c r="J10">
        <v>7583.71</v>
      </c>
      <c r="K10">
        <v>1</v>
      </c>
      <c r="O10">
        <v>1191</v>
      </c>
    </row>
    <row r="11" spans="1:20" ht="33" customHeight="1" x14ac:dyDescent="0.5">
      <c r="A11" s="21" t="s">
        <v>21</v>
      </c>
      <c r="B11" s="43">
        <f>IF(SUM(B1,B3)=0, 0, B1/SUM(B1,B3))</f>
        <v>4.7827681454211027E-2</v>
      </c>
      <c r="F11" s="6">
        <v>46032</v>
      </c>
    </row>
    <row r="12" spans="1:20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6">
        <v>46033</v>
      </c>
    </row>
    <row r="13" spans="1:20" ht="33" customHeight="1" x14ac:dyDescent="0.5">
      <c r="A13" s="17" t="s">
        <v>25</v>
      </c>
      <c r="B13" s="30">
        <f>IF(B2=0,0,B2/0.699 - B2)-B3</f>
        <v>-14400.748555078684</v>
      </c>
      <c r="C13" s="1"/>
      <c r="F13" s="6">
        <v>46034</v>
      </c>
    </row>
    <row r="14" spans="1:20" ht="33" customHeight="1" x14ac:dyDescent="0.5">
      <c r="A14" s="9" t="s">
        <v>23</v>
      </c>
      <c r="B14" s="41">
        <f>IF(B2=0,0,(M367+O367+P367+R367+T367)/B2)</f>
        <v>0.66144128749580089</v>
      </c>
      <c r="F14" s="6">
        <v>46035</v>
      </c>
    </row>
    <row r="15" spans="1:20" ht="33" customHeight="1" x14ac:dyDescent="0.5">
      <c r="A15" s="22" t="s">
        <v>24</v>
      </c>
      <c r="B15" s="27" t="str">
        <f>IF(B14&gt;=0.1,"✅ Uygun","❌ Aşıldı")</f>
        <v>✅ Uygun</v>
      </c>
      <c r="F15" s="6">
        <v>46036</v>
      </c>
    </row>
    <row r="16" spans="1:20" ht="33" customHeight="1" x14ac:dyDescent="0.5">
      <c r="A16" s="22" t="s">
        <v>38</v>
      </c>
      <c r="B16" s="25">
        <f>M367+O367+P367+R367+T367</f>
        <v>16125.76</v>
      </c>
      <c r="F16" s="6">
        <v>46037</v>
      </c>
    </row>
    <row r="17" spans="1:15" ht="33" customHeight="1" x14ac:dyDescent="0.3">
      <c r="F17" s="6">
        <v>46038</v>
      </c>
    </row>
    <row r="18" spans="1:15" ht="33" customHeight="1" x14ac:dyDescent="0.55000000000000004">
      <c r="A18" s="48" t="s">
        <v>30</v>
      </c>
      <c r="B18" s="49"/>
      <c r="F18" s="6">
        <v>46039</v>
      </c>
    </row>
    <row r="19" spans="1:15" ht="33" customHeight="1" x14ac:dyDescent="0.5">
      <c r="A19" s="16" t="s">
        <v>20</v>
      </c>
      <c r="B19" s="42">
        <f>B6</f>
        <v>0.93231358971093736</v>
      </c>
      <c r="F19" s="6">
        <v>46040</v>
      </c>
    </row>
    <row r="20" spans="1:15" ht="33" customHeight="1" x14ac:dyDescent="0.5">
      <c r="A20" s="18" t="s">
        <v>27</v>
      </c>
      <c r="B20" s="32" t="str">
        <f>B7</f>
        <v>❌ Aşıldı</v>
      </c>
      <c r="F20" s="6">
        <v>46041</v>
      </c>
    </row>
    <row r="21" spans="1:15" ht="33" customHeight="1" x14ac:dyDescent="0.5">
      <c r="A21" s="17" t="s">
        <v>26</v>
      </c>
      <c r="B21" s="34">
        <f>B10</f>
        <v>-24584.40336670839</v>
      </c>
      <c r="F21" s="6">
        <v>46042</v>
      </c>
    </row>
    <row r="22" spans="1:15" ht="33" customHeight="1" x14ac:dyDescent="0.5">
      <c r="A22" s="21" t="s">
        <v>21</v>
      </c>
      <c r="B22" s="42">
        <f t="shared" ref="B22:B26" si="0">B11</f>
        <v>4.7827681454211027E-2</v>
      </c>
      <c r="F22" s="6">
        <v>46043</v>
      </c>
      <c r="M22">
        <v>10153.280000000001</v>
      </c>
    </row>
    <row r="23" spans="1:15" ht="33" customHeight="1" x14ac:dyDescent="0.5">
      <c r="A23" s="20" t="s">
        <v>28</v>
      </c>
      <c r="B23" s="33" t="str">
        <f t="shared" si="0"/>
        <v>✅ Uygun</v>
      </c>
      <c r="F23" s="6">
        <v>46044</v>
      </c>
    </row>
    <row r="24" spans="1:15" ht="33" customHeight="1" x14ac:dyDescent="0.5">
      <c r="A24" s="17" t="s">
        <v>25</v>
      </c>
      <c r="B24" s="34">
        <f t="shared" si="0"/>
        <v>-14400.748555078684</v>
      </c>
      <c r="F24" s="6">
        <v>46045</v>
      </c>
    </row>
    <row r="25" spans="1:15" ht="33" customHeight="1" x14ac:dyDescent="0.5">
      <c r="A25" s="9" t="s">
        <v>23</v>
      </c>
      <c r="B25" s="42">
        <f t="shared" si="0"/>
        <v>0.66144128749580089</v>
      </c>
      <c r="F25" s="6">
        <v>46046</v>
      </c>
    </row>
    <row r="26" spans="1:15" ht="33" customHeight="1" x14ac:dyDescent="0.5">
      <c r="A26" s="22" t="s">
        <v>24</v>
      </c>
      <c r="B26" s="32" t="str">
        <f t="shared" si="0"/>
        <v>✅ Uygun</v>
      </c>
      <c r="F26" s="6">
        <v>46047</v>
      </c>
    </row>
    <row r="27" spans="1:15" ht="33" customHeight="1" x14ac:dyDescent="0.5">
      <c r="A27" s="14" t="s">
        <v>2</v>
      </c>
      <c r="B27" s="32" t="str">
        <f>B9</f>
        <v>❌ Yetersiz</v>
      </c>
      <c r="F27" s="6">
        <v>46048</v>
      </c>
      <c r="M27">
        <v>4570.5</v>
      </c>
    </row>
    <row r="28" spans="1:15" ht="33" customHeight="1" x14ac:dyDescent="0.3">
      <c r="F28" s="6">
        <v>46049</v>
      </c>
      <c r="G28">
        <v>-14373.06</v>
      </c>
      <c r="H28">
        <v>-1</v>
      </c>
      <c r="M28">
        <v>-1274.93</v>
      </c>
      <c r="N28">
        <v>1875.49</v>
      </c>
    </row>
    <row r="29" spans="1:15" ht="33" customHeight="1" x14ac:dyDescent="0.3">
      <c r="F29" s="6">
        <v>46050</v>
      </c>
      <c r="G29">
        <v>-8755.99</v>
      </c>
      <c r="H29">
        <v>-1</v>
      </c>
      <c r="O29">
        <v>-896.09</v>
      </c>
    </row>
    <row r="30" spans="1:15" ht="33" customHeight="1" x14ac:dyDescent="0.3">
      <c r="F30" s="6">
        <v>46051</v>
      </c>
      <c r="J30">
        <v>8260.7999999999993</v>
      </c>
      <c r="K30">
        <v>1</v>
      </c>
      <c r="O30">
        <v>1191</v>
      </c>
    </row>
    <row r="31" spans="1:15" ht="33" customHeight="1" x14ac:dyDescent="0.3">
      <c r="F31" s="6">
        <v>46052</v>
      </c>
      <c r="N31">
        <v>5160.78</v>
      </c>
    </row>
    <row r="32" spans="1:15" ht="33" customHeight="1" x14ac:dyDescent="0.3">
      <c r="F32" s="6">
        <v>46053</v>
      </c>
    </row>
    <row r="33" spans="6:15" ht="33" customHeight="1" x14ac:dyDescent="0.3">
      <c r="F33" s="6">
        <v>46054</v>
      </c>
    </row>
    <row r="34" spans="6:15" ht="33" customHeight="1" x14ac:dyDescent="0.3">
      <c r="F34" s="6">
        <v>46055</v>
      </c>
      <c r="J34">
        <v>8535.2199999999993</v>
      </c>
      <c r="K34">
        <v>1</v>
      </c>
      <c r="O34">
        <v>1191</v>
      </c>
    </row>
    <row r="35" spans="6:15" ht="33" customHeight="1" x14ac:dyDescent="0.3">
      <c r="F35" s="6">
        <v>46056</v>
      </c>
    </row>
    <row r="36" spans="6:15" ht="33" customHeight="1" x14ac:dyDescent="0.3">
      <c r="F36" s="6">
        <v>46057</v>
      </c>
    </row>
    <row r="37" spans="6:15" ht="33" customHeight="1" x14ac:dyDescent="0.3">
      <c r="F37" s="6">
        <v>46058</v>
      </c>
    </row>
    <row r="38" spans="6:15" ht="33" customHeight="1" x14ac:dyDescent="0.3">
      <c r="F38" s="6">
        <v>46059</v>
      </c>
    </row>
    <row r="39" spans="6:15" ht="33" customHeight="1" x14ac:dyDescent="0.3">
      <c r="F39" s="6">
        <v>46060</v>
      </c>
    </row>
    <row r="40" spans="6:15" ht="33" customHeight="1" x14ac:dyDescent="0.3">
      <c r="F40" s="6">
        <v>46061</v>
      </c>
    </row>
    <row r="41" spans="6:15" ht="33" customHeight="1" x14ac:dyDescent="0.3">
      <c r="F41" s="6">
        <v>46062</v>
      </c>
    </row>
    <row r="42" spans="6:15" ht="33" customHeight="1" x14ac:dyDescent="0.3">
      <c r="F42" s="6">
        <v>46063</v>
      </c>
    </row>
    <row r="43" spans="6:15" ht="33" customHeight="1" x14ac:dyDescent="0.3">
      <c r="F43" s="6">
        <v>46064</v>
      </c>
    </row>
    <row r="44" spans="6:15" ht="33" customHeight="1" x14ac:dyDescent="0.3">
      <c r="F44" s="6">
        <v>46065</v>
      </c>
    </row>
    <row r="45" spans="6:15" ht="33" customHeight="1" x14ac:dyDescent="0.3">
      <c r="F45" s="6">
        <v>46066</v>
      </c>
    </row>
    <row r="46" spans="6:15" ht="33" customHeight="1" x14ac:dyDescent="0.3">
      <c r="F46" s="6">
        <v>46067</v>
      </c>
    </row>
    <row r="47" spans="6:15" ht="33" customHeight="1" x14ac:dyDescent="0.3">
      <c r="F47" s="6">
        <v>46068</v>
      </c>
    </row>
    <row r="48" spans="6:15" ht="33" customHeight="1" x14ac:dyDescent="0.3">
      <c r="F48" s="6">
        <v>46069</v>
      </c>
    </row>
    <row r="49" spans="6:6" ht="33" customHeight="1" x14ac:dyDescent="0.3">
      <c r="F49" s="6">
        <v>46070</v>
      </c>
    </row>
    <row r="50" spans="6:6" ht="33" customHeight="1" x14ac:dyDescent="0.3">
      <c r="F50" s="6">
        <v>46071</v>
      </c>
    </row>
    <row r="51" spans="6:6" ht="33" customHeight="1" x14ac:dyDescent="0.3">
      <c r="F51" s="6">
        <v>46072</v>
      </c>
    </row>
    <row r="52" spans="6:6" ht="33" customHeight="1" x14ac:dyDescent="0.3">
      <c r="F52" s="6">
        <v>46073</v>
      </c>
    </row>
    <row r="53" spans="6:6" ht="33" customHeight="1" x14ac:dyDescent="0.3">
      <c r="F53" s="6">
        <v>46074</v>
      </c>
    </row>
    <row r="54" spans="6:6" ht="33" customHeight="1" x14ac:dyDescent="0.3">
      <c r="F54" s="6">
        <v>46075</v>
      </c>
    </row>
    <row r="55" spans="6:6" ht="33" customHeight="1" x14ac:dyDescent="0.3">
      <c r="F55" s="6">
        <v>46076</v>
      </c>
    </row>
    <row r="56" spans="6:6" ht="33" customHeight="1" x14ac:dyDescent="0.3">
      <c r="F56" s="6">
        <v>46077</v>
      </c>
    </row>
    <row r="57" spans="6:6" ht="33" customHeight="1" x14ac:dyDescent="0.3">
      <c r="F57" s="6">
        <v>46078</v>
      </c>
    </row>
    <row r="58" spans="6:6" ht="33" customHeight="1" x14ac:dyDescent="0.3">
      <c r="F58" s="6">
        <v>46079</v>
      </c>
    </row>
    <row r="59" spans="6:6" ht="33" customHeight="1" x14ac:dyDescent="0.3">
      <c r="F59" s="6">
        <v>46080</v>
      </c>
    </row>
    <row r="60" spans="6:6" ht="33" customHeight="1" x14ac:dyDescent="0.3">
      <c r="F60" s="6">
        <v>46081</v>
      </c>
    </row>
    <row r="61" spans="6:6" ht="33" customHeight="1" x14ac:dyDescent="0.3">
      <c r="F61" s="6">
        <v>46082</v>
      </c>
    </row>
    <row r="62" spans="6:6" ht="33" customHeight="1" x14ac:dyDescent="0.3">
      <c r="F62" s="6">
        <v>46083</v>
      </c>
    </row>
    <row r="63" spans="6:6" ht="33" customHeight="1" x14ac:dyDescent="0.3">
      <c r="F63" s="6">
        <v>46084</v>
      </c>
    </row>
    <row r="64" spans="6:6" ht="33" customHeight="1" x14ac:dyDescent="0.3">
      <c r="F64" s="6">
        <v>46085</v>
      </c>
    </row>
    <row r="65" spans="6:6" ht="33" customHeight="1" x14ac:dyDescent="0.3">
      <c r="F65" s="6">
        <v>46086</v>
      </c>
    </row>
    <row r="66" spans="6:6" ht="33" customHeight="1" x14ac:dyDescent="0.3">
      <c r="F66" s="6">
        <v>46087</v>
      </c>
    </row>
    <row r="67" spans="6:6" ht="33" customHeight="1" x14ac:dyDescent="0.3">
      <c r="F67" s="6">
        <v>46088</v>
      </c>
    </row>
    <row r="68" spans="6:6" ht="33" customHeight="1" x14ac:dyDescent="0.3">
      <c r="F68" s="6">
        <v>46089</v>
      </c>
    </row>
    <row r="69" spans="6:6" ht="33" customHeight="1" x14ac:dyDescent="0.3">
      <c r="F69" s="6">
        <v>46090</v>
      </c>
    </row>
    <row r="70" spans="6:6" ht="33" customHeight="1" x14ac:dyDescent="0.3">
      <c r="F70" s="6">
        <v>46091</v>
      </c>
    </row>
    <row r="71" spans="6:6" ht="33" customHeight="1" x14ac:dyDescent="0.3">
      <c r="F71" s="6">
        <v>46092</v>
      </c>
    </row>
    <row r="72" spans="6:6" ht="33" customHeight="1" x14ac:dyDescent="0.3">
      <c r="F72" s="6">
        <v>46093</v>
      </c>
    </row>
    <row r="73" spans="6:6" ht="33" customHeight="1" x14ac:dyDescent="0.3">
      <c r="F73" s="6">
        <v>46094</v>
      </c>
    </row>
    <row r="74" spans="6:6" ht="33" customHeight="1" x14ac:dyDescent="0.3">
      <c r="F74" s="6">
        <v>46095</v>
      </c>
    </row>
    <row r="75" spans="6:6" ht="33" customHeight="1" x14ac:dyDescent="0.3">
      <c r="F75" s="6">
        <v>46096</v>
      </c>
    </row>
    <row r="76" spans="6:6" ht="33" customHeight="1" x14ac:dyDescent="0.3">
      <c r="F76" s="6">
        <v>46097</v>
      </c>
    </row>
    <row r="77" spans="6:6" ht="33" customHeight="1" x14ac:dyDescent="0.3">
      <c r="F77" s="6">
        <v>46098</v>
      </c>
    </row>
    <row r="78" spans="6:6" ht="33" customHeight="1" x14ac:dyDescent="0.3">
      <c r="F78" s="6">
        <v>46099</v>
      </c>
    </row>
    <row r="79" spans="6:6" ht="33" customHeight="1" x14ac:dyDescent="0.3">
      <c r="F79" s="6">
        <v>46100</v>
      </c>
    </row>
    <row r="80" spans="6:6" ht="33" customHeight="1" x14ac:dyDescent="0.3">
      <c r="F80" s="6">
        <v>46101</v>
      </c>
    </row>
    <row r="81" spans="6:6" ht="33" customHeight="1" x14ac:dyDescent="0.3">
      <c r="F81" s="6">
        <v>46102</v>
      </c>
    </row>
    <row r="82" spans="6:6" ht="33" customHeight="1" x14ac:dyDescent="0.3">
      <c r="F82" s="6">
        <v>46103</v>
      </c>
    </row>
    <row r="83" spans="6:6" ht="33" customHeight="1" x14ac:dyDescent="0.3">
      <c r="F83" s="6">
        <v>46104</v>
      </c>
    </row>
    <row r="84" spans="6:6" ht="33" customHeight="1" x14ac:dyDescent="0.3">
      <c r="F84" s="6">
        <v>46105</v>
      </c>
    </row>
    <row r="85" spans="6:6" ht="33" customHeight="1" x14ac:dyDescent="0.3">
      <c r="F85" s="6">
        <v>46106</v>
      </c>
    </row>
    <row r="86" spans="6:6" ht="33" customHeight="1" x14ac:dyDescent="0.3">
      <c r="F86" s="6">
        <v>46107</v>
      </c>
    </row>
    <row r="87" spans="6:6" ht="33" customHeight="1" x14ac:dyDescent="0.3">
      <c r="F87" s="6">
        <v>46108</v>
      </c>
    </row>
    <row r="88" spans="6:6" ht="33" customHeight="1" x14ac:dyDescent="0.3">
      <c r="F88" s="6">
        <v>46109</v>
      </c>
    </row>
    <row r="89" spans="6:6" ht="33" customHeight="1" x14ac:dyDescent="0.3">
      <c r="F89" s="6">
        <v>46110</v>
      </c>
    </row>
    <row r="90" spans="6:6" ht="33" customHeight="1" x14ac:dyDescent="0.3">
      <c r="F90" s="6">
        <v>46111</v>
      </c>
    </row>
    <row r="91" spans="6:6" ht="33" customHeight="1" x14ac:dyDescent="0.3">
      <c r="F91" s="6">
        <v>46112</v>
      </c>
    </row>
    <row r="92" spans="6:6" ht="33" customHeight="1" x14ac:dyDescent="0.3">
      <c r="F92" s="6">
        <v>46113</v>
      </c>
    </row>
    <row r="93" spans="6:6" ht="33" customHeight="1" x14ac:dyDescent="0.3">
      <c r="F93" s="6">
        <v>46114</v>
      </c>
    </row>
    <row r="94" spans="6:6" ht="33" customHeight="1" x14ac:dyDescent="0.3">
      <c r="F94" s="6">
        <v>46115</v>
      </c>
    </row>
    <row r="95" spans="6:6" ht="33" customHeight="1" x14ac:dyDescent="0.3">
      <c r="F95" s="6">
        <v>46116</v>
      </c>
    </row>
    <row r="96" spans="6:6" ht="33" customHeight="1" x14ac:dyDescent="0.3">
      <c r="F96" s="6">
        <v>46117</v>
      </c>
    </row>
    <row r="97" spans="6:6" ht="33" customHeight="1" x14ac:dyDescent="0.3">
      <c r="F97" s="6">
        <v>46118</v>
      </c>
    </row>
    <row r="98" spans="6:6" ht="33" customHeight="1" x14ac:dyDescent="0.3">
      <c r="F98" s="6">
        <v>46119</v>
      </c>
    </row>
    <row r="99" spans="6:6" ht="33" customHeight="1" x14ac:dyDescent="0.3">
      <c r="F99" s="6">
        <v>46120</v>
      </c>
    </row>
    <row r="100" spans="6:6" ht="33" customHeight="1" x14ac:dyDescent="0.3">
      <c r="F100" s="6">
        <v>46121</v>
      </c>
    </row>
    <row r="101" spans="6:6" ht="33" customHeight="1" x14ac:dyDescent="0.3">
      <c r="F101" s="6">
        <v>46122</v>
      </c>
    </row>
    <row r="102" spans="6:6" ht="33" customHeight="1" x14ac:dyDescent="0.3">
      <c r="F102" s="6">
        <v>46123</v>
      </c>
    </row>
    <row r="103" spans="6:6" ht="33" customHeight="1" x14ac:dyDescent="0.3">
      <c r="F103" s="6">
        <v>46124</v>
      </c>
    </row>
    <row r="104" spans="6:6" ht="33" customHeight="1" x14ac:dyDescent="0.3">
      <c r="F104" s="6">
        <v>46125</v>
      </c>
    </row>
    <row r="105" spans="6:6" ht="33" customHeight="1" x14ac:dyDescent="0.3">
      <c r="F105" s="6">
        <v>46126</v>
      </c>
    </row>
    <row r="106" spans="6:6" ht="33" customHeight="1" x14ac:dyDescent="0.3">
      <c r="F106" s="6">
        <v>46127</v>
      </c>
    </row>
    <row r="107" spans="6:6" ht="33" customHeight="1" x14ac:dyDescent="0.3">
      <c r="F107" s="6">
        <v>46128</v>
      </c>
    </row>
    <row r="108" spans="6:6" ht="33" customHeight="1" x14ac:dyDescent="0.3">
      <c r="F108" s="6">
        <v>46129</v>
      </c>
    </row>
    <row r="109" spans="6:6" ht="33" customHeight="1" x14ac:dyDescent="0.3">
      <c r="F109" s="6">
        <v>46130</v>
      </c>
    </row>
    <row r="110" spans="6:6" ht="33" customHeight="1" x14ac:dyDescent="0.3">
      <c r="F110" s="6">
        <v>46131</v>
      </c>
    </row>
    <row r="111" spans="6:6" ht="33" customHeight="1" x14ac:dyDescent="0.3">
      <c r="F111" s="6">
        <v>46132</v>
      </c>
    </row>
    <row r="112" spans="6:6" ht="33" customHeight="1" x14ac:dyDescent="0.3">
      <c r="F112" s="6">
        <v>46133</v>
      </c>
    </row>
    <row r="113" spans="6:6" ht="33" customHeight="1" x14ac:dyDescent="0.3">
      <c r="F113" s="6">
        <v>46134</v>
      </c>
    </row>
    <row r="114" spans="6:6" ht="33" customHeight="1" x14ac:dyDescent="0.3">
      <c r="F114" s="6">
        <v>46135</v>
      </c>
    </row>
    <row r="115" spans="6:6" ht="33" customHeight="1" x14ac:dyDescent="0.3">
      <c r="F115" s="6">
        <v>46136</v>
      </c>
    </row>
    <row r="116" spans="6:6" ht="33" customHeight="1" x14ac:dyDescent="0.3">
      <c r="F116" s="6">
        <v>46137</v>
      </c>
    </row>
    <row r="117" spans="6:6" ht="33" customHeight="1" x14ac:dyDescent="0.3">
      <c r="F117" s="6">
        <v>46138</v>
      </c>
    </row>
    <row r="118" spans="6:6" ht="33" customHeight="1" x14ac:dyDescent="0.3">
      <c r="F118" s="6">
        <v>46139</v>
      </c>
    </row>
    <row r="119" spans="6:6" ht="33" customHeight="1" x14ac:dyDescent="0.3">
      <c r="F119" s="6">
        <v>46140</v>
      </c>
    </row>
    <row r="120" spans="6:6" ht="33" customHeight="1" x14ac:dyDescent="0.3">
      <c r="F120" s="6">
        <v>46141</v>
      </c>
    </row>
    <row r="121" spans="6:6" ht="33" customHeight="1" x14ac:dyDescent="0.3">
      <c r="F121" s="6">
        <v>46142</v>
      </c>
    </row>
    <row r="122" spans="6:6" ht="33" customHeight="1" x14ac:dyDescent="0.3">
      <c r="F122" s="6">
        <v>46143</v>
      </c>
    </row>
    <row r="123" spans="6:6" ht="33" customHeight="1" x14ac:dyDescent="0.3">
      <c r="F123" s="6">
        <v>46144</v>
      </c>
    </row>
    <row r="124" spans="6:6" ht="33" customHeight="1" x14ac:dyDescent="0.3">
      <c r="F124" s="6">
        <v>46145</v>
      </c>
    </row>
    <row r="125" spans="6:6" ht="33" customHeight="1" x14ac:dyDescent="0.3">
      <c r="F125" s="6">
        <v>46146</v>
      </c>
    </row>
    <row r="126" spans="6:6" ht="33" customHeight="1" x14ac:dyDescent="0.3">
      <c r="F126" s="6">
        <v>46147</v>
      </c>
    </row>
    <row r="127" spans="6:6" ht="33" customHeight="1" x14ac:dyDescent="0.3">
      <c r="F127" s="6">
        <v>46148</v>
      </c>
    </row>
    <row r="128" spans="6:6" ht="33" customHeight="1" x14ac:dyDescent="0.3">
      <c r="F128" s="6">
        <v>46149</v>
      </c>
    </row>
    <row r="129" spans="6:6" ht="33" customHeight="1" x14ac:dyDescent="0.3">
      <c r="F129" s="6">
        <v>46150</v>
      </c>
    </row>
    <row r="130" spans="6:6" ht="33" customHeight="1" x14ac:dyDescent="0.3">
      <c r="F130" s="6">
        <v>46151</v>
      </c>
    </row>
    <row r="131" spans="6:6" ht="33" customHeight="1" x14ac:dyDescent="0.3">
      <c r="F131" s="6">
        <v>46152</v>
      </c>
    </row>
    <row r="132" spans="6:6" ht="33" customHeight="1" x14ac:dyDescent="0.3">
      <c r="F132" s="6">
        <v>46153</v>
      </c>
    </row>
    <row r="133" spans="6:6" ht="33" customHeight="1" x14ac:dyDescent="0.3">
      <c r="F133" s="6">
        <v>46154</v>
      </c>
    </row>
    <row r="134" spans="6:6" ht="33" customHeight="1" x14ac:dyDescent="0.3">
      <c r="F134" s="6">
        <v>46155</v>
      </c>
    </row>
    <row r="135" spans="6:6" ht="33" customHeight="1" x14ac:dyDescent="0.3">
      <c r="F135" s="6">
        <v>46156</v>
      </c>
    </row>
    <row r="136" spans="6:6" ht="33" customHeight="1" x14ac:dyDescent="0.3">
      <c r="F136" s="6">
        <v>46157</v>
      </c>
    </row>
    <row r="137" spans="6:6" ht="33" customHeight="1" x14ac:dyDescent="0.3">
      <c r="F137" s="6">
        <v>46158</v>
      </c>
    </row>
    <row r="138" spans="6:6" ht="33" customHeight="1" x14ac:dyDescent="0.3">
      <c r="F138" s="6">
        <v>46159</v>
      </c>
    </row>
    <row r="139" spans="6:6" ht="33" customHeight="1" x14ac:dyDescent="0.3">
      <c r="F139" s="6">
        <v>46160</v>
      </c>
    </row>
    <row r="140" spans="6:6" ht="33" customHeight="1" x14ac:dyDescent="0.3">
      <c r="F140" s="6">
        <v>46161</v>
      </c>
    </row>
    <row r="141" spans="6:6" ht="33" customHeight="1" x14ac:dyDescent="0.3">
      <c r="F141" s="6">
        <v>46162</v>
      </c>
    </row>
    <row r="142" spans="6:6" ht="33" customHeight="1" x14ac:dyDescent="0.3">
      <c r="F142" s="6">
        <v>46163</v>
      </c>
    </row>
    <row r="143" spans="6:6" ht="33" customHeight="1" x14ac:dyDescent="0.3">
      <c r="F143" s="6">
        <v>46164</v>
      </c>
    </row>
    <row r="144" spans="6:6" ht="33" customHeight="1" x14ac:dyDescent="0.3">
      <c r="F144" s="6">
        <v>46165</v>
      </c>
    </row>
    <row r="145" spans="6:6" ht="33" customHeight="1" x14ac:dyDescent="0.3">
      <c r="F145" s="6">
        <v>46166</v>
      </c>
    </row>
    <row r="146" spans="6:6" ht="33" customHeight="1" x14ac:dyDescent="0.3">
      <c r="F146" s="6">
        <v>46167</v>
      </c>
    </row>
    <row r="147" spans="6:6" ht="33" customHeight="1" x14ac:dyDescent="0.3">
      <c r="F147" s="6">
        <v>46168</v>
      </c>
    </row>
    <row r="148" spans="6:6" ht="33" customHeight="1" x14ac:dyDescent="0.3">
      <c r="F148" s="6">
        <v>46169</v>
      </c>
    </row>
    <row r="149" spans="6:6" ht="33" customHeight="1" x14ac:dyDescent="0.3">
      <c r="F149" s="6">
        <v>46170</v>
      </c>
    </row>
    <row r="150" spans="6:6" ht="33" customHeight="1" x14ac:dyDescent="0.3">
      <c r="F150" s="6">
        <v>46171</v>
      </c>
    </row>
    <row r="151" spans="6:6" ht="33" customHeight="1" x14ac:dyDescent="0.3">
      <c r="F151" s="6">
        <v>46172</v>
      </c>
    </row>
    <row r="152" spans="6:6" ht="33" customHeight="1" x14ac:dyDescent="0.3">
      <c r="F152" s="6">
        <v>46173</v>
      </c>
    </row>
    <row r="153" spans="6:6" ht="33" customHeight="1" x14ac:dyDescent="0.3">
      <c r="F153" s="6">
        <v>46174</v>
      </c>
    </row>
    <row r="154" spans="6:6" ht="33" customHeight="1" x14ac:dyDescent="0.3">
      <c r="F154" s="6">
        <v>46175</v>
      </c>
    </row>
    <row r="155" spans="6:6" ht="33" customHeight="1" x14ac:dyDescent="0.3">
      <c r="F155" s="6">
        <v>46176</v>
      </c>
    </row>
    <row r="156" spans="6:6" ht="33" customHeight="1" x14ac:dyDescent="0.3">
      <c r="F156" s="6">
        <v>46177</v>
      </c>
    </row>
    <row r="157" spans="6:6" ht="33" customHeight="1" x14ac:dyDescent="0.3">
      <c r="F157" s="6">
        <v>46178</v>
      </c>
    </row>
    <row r="158" spans="6:6" ht="33" customHeight="1" x14ac:dyDescent="0.3">
      <c r="F158" s="6">
        <v>46179</v>
      </c>
    </row>
    <row r="159" spans="6:6" ht="33" customHeight="1" x14ac:dyDescent="0.3">
      <c r="F159" s="6">
        <v>46180</v>
      </c>
    </row>
    <row r="160" spans="6:6" ht="33" customHeight="1" x14ac:dyDescent="0.3">
      <c r="F160" s="6">
        <v>46181</v>
      </c>
    </row>
    <row r="161" spans="6:6" ht="33" customHeight="1" x14ac:dyDescent="0.3">
      <c r="F161" s="6">
        <v>46182</v>
      </c>
    </row>
    <row r="162" spans="6:6" ht="33" customHeight="1" x14ac:dyDescent="0.3">
      <c r="F162" s="6">
        <v>46183</v>
      </c>
    </row>
    <row r="163" spans="6:6" ht="33" customHeight="1" x14ac:dyDescent="0.3">
      <c r="F163" s="6">
        <v>46184</v>
      </c>
    </row>
    <row r="164" spans="6:6" ht="33" customHeight="1" x14ac:dyDescent="0.3">
      <c r="F164" s="6">
        <v>46185</v>
      </c>
    </row>
    <row r="165" spans="6:6" ht="33" customHeight="1" x14ac:dyDescent="0.3">
      <c r="F165" s="6">
        <v>46186</v>
      </c>
    </row>
    <row r="166" spans="6:6" ht="33" customHeight="1" x14ac:dyDescent="0.3">
      <c r="F166" s="6">
        <v>46187</v>
      </c>
    </row>
    <row r="167" spans="6:6" ht="33" customHeight="1" x14ac:dyDescent="0.3">
      <c r="F167" s="6">
        <v>46188</v>
      </c>
    </row>
    <row r="168" spans="6:6" ht="33" customHeight="1" x14ac:dyDescent="0.3">
      <c r="F168" s="6">
        <v>46189</v>
      </c>
    </row>
    <row r="169" spans="6:6" ht="33" customHeight="1" x14ac:dyDescent="0.3">
      <c r="F169" s="6">
        <v>46190</v>
      </c>
    </row>
    <row r="170" spans="6:6" ht="33" customHeight="1" x14ac:dyDescent="0.3">
      <c r="F170" s="6">
        <v>46191</v>
      </c>
    </row>
    <row r="171" spans="6:6" ht="33" customHeight="1" x14ac:dyDescent="0.3">
      <c r="F171" s="6">
        <v>46192</v>
      </c>
    </row>
    <row r="172" spans="6:6" ht="33" customHeight="1" x14ac:dyDescent="0.3">
      <c r="F172" s="6">
        <v>46193</v>
      </c>
    </row>
    <row r="173" spans="6:6" ht="33" customHeight="1" x14ac:dyDescent="0.3">
      <c r="F173" s="6">
        <v>46194</v>
      </c>
    </row>
    <row r="174" spans="6:6" ht="33" customHeight="1" x14ac:dyDescent="0.3">
      <c r="F174" s="6">
        <v>46195</v>
      </c>
    </row>
    <row r="175" spans="6:6" ht="33" customHeight="1" x14ac:dyDescent="0.3">
      <c r="F175" s="6">
        <v>46196</v>
      </c>
    </row>
    <row r="176" spans="6:6" ht="33" customHeight="1" x14ac:dyDescent="0.3">
      <c r="F176" s="6">
        <v>46197</v>
      </c>
    </row>
    <row r="177" spans="6:6" ht="33" customHeight="1" x14ac:dyDescent="0.3">
      <c r="F177" s="6">
        <v>46198</v>
      </c>
    </row>
    <row r="178" spans="6:6" ht="33" customHeight="1" x14ac:dyDescent="0.3">
      <c r="F178" s="6">
        <v>46199</v>
      </c>
    </row>
    <row r="179" spans="6:6" ht="33" customHeight="1" x14ac:dyDescent="0.3">
      <c r="F179" s="6">
        <v>46200</v>
      </c>
    </row>
    <row r="180" spans="6:6" ht="33" customHeight="1" x14ac:dyDescent="0.3">
      <c r="F180" s="6">
        <v>46201</v>
      </c>
    </row>
    <row r="181" spans="6:6" ht="33" customHeight="1" x14ac:dyDescent="0.3">
      <c r="F181" s="6">
        <v>46202</v>
      </c>
    </row>
    <row r="182" spans="6:6" ht="33" customHeight="1" x14ac:dyDescent="0.3">
      <c r="F182" s="6">
        <v>46203</v>
      </c>
    </row>
    <row r="183" spans="6:6" ht="33" customHeight="1" x14ac:dyDescent="0.3">
      <c r="F183" s="6">
        <v>46204</v>
      </c>
    </row>
    <row r="184" spans="6:6" ht="33" customHeight="1" x14ac:dyDescent="0.3">
      <c r="F184" s="6">
        <v>46205</v>
      </c>
    </row>
    <row r="185" spans="6:6" ht="33" customHeight="1" x14ac:dyDescent="0.3">
      <c r="F185" s="6">
        <v>46206</v>
      </c>
    </row>
    <row r="186" spans="6:6" ht="33" customHeight="1" x14ac:dyDescent="0.3">
      <c r="F186" s="6">
        <v>46207</v>
      </c>
    </row>
    <row r="187" spans="6:6" ht="33" customHeight="1" x14ac:dyDescent="0.3">
      <c r="F187" s="6">
        <v>46208</v>
      </c>
    </row>
    <row r="188" spans="6:6" ht="33" customHeight="1" x14ac:dyDescent="0.3">
      <c r="F188" s="6">
        <v>46209</v>
      </c>
    </row>
    <row r="189" spans="6:6" ht="33" customHeight="1" x14ac:dyDescent="0.3">
      <c r="F189" s="6">
        <v>46210</v>
      </c>
    </row>
    <row r="190" spans="6:6" ht="33" customHeight="1" x14ac:dyDescent="0.3">
      <c r="F190" s="6">
        <v>46211</v>
      </c>
    </row>
    <row r="191" spans="6:6" ht="33" customHeight="1" x14ac:dyDescent="0.3">
      <c r="F191" s="6">
        <v>46212</v>
      </c>
    </row>
    <row r="192" spans="6:6" ht="33" customHeight="1" x14ac:dyDescent="0.3">
      <c r="F192" s="6">
        <v>46213</v>
      </c>
    </row>
    <row r="193" spans="6:6" ht="33" customHeight="1" x14ac:dyDescent="0.3">
      <c r="F193" s="6">
        <v>46214</v>
      </c>
    </row>
    <row r="194" spans="6:6" ht="33" customHeight="1" x14ac:dyDescent="0.3">
      <c r="F194" s="6">
        <v>46215</v>
      </c>
    </row>
    <row r="195" spans="6:6" ht="33" customHeight="1" x14ac:dyDescent="0.3">
      <c r="F195" s="6">
        <v>46216</v>
      </c>
    </row>
    <row r="196" spans="6:6" ht="33" customHeight="1" x14ac:dyDescent="0.3">
      <c r="F196" s="6">
        <v>46217</v>
      </c>
    </row>
    <row r="197" spans="6:6" ht="33" customHeight="1" x14ac:dyDescent="0.3">
      <c r="F197" s="6">
        <v>46218</v>
      </c>
    </row>
    <row r="198" spans="6:6" ht="33" customHeight="1" x14ac:dyDescent="0.3">
      <c r="F198" s="6">
        <v>46219</v>
      </c>
    </row>
    <row r="199" spans="6:6" ht="33" customHeight="1" x14ac:dyDescent="0.3">
      <c r="F199" s="6">
        <v>46220</v>
      </c>
    </row>
    <row r="200" spans="6:6" ht="33" customHeight="1" x14ac:dyDescent="0.3">
      <c r="F200" s="6">
        <v>46221</v>
      </c>
    </row>
    <row r="201" spans="6:6" ht="33" customHeight="1" x14ac:dyDescent="0.3">
      <c r="F201" s="6">
        <v>46222</v>
      </c>
    </row>
    <row r="202" spans="6:6" ht="33" customHeight="1" x14ac:dyDescent="0.3">
      <c r="F202" s="6">
        <v>46223</v>
      </c>
    </row>
    <row r="203" spans="6:6" ht="33" customHeight="1" x14ac:dyDescent="0.3">
      <c r="F203" s="6">
        <v>46224</v>
      </c>
    </row>
    <row r="204" spans="6:6" ht="33" customHeight="1" x14ac:dyDescent="0.3">
      <c r="F204" s="6">
        <v>46225</v>
      </c>
    </row>
    <row r="205" spans="6:6" ht="33" customHeight="1" x14ac:dyDescent="0.3">
      <c r="F205" s="6">
        <v>46226</v>
      </c>
    </row>
    <row r="206" spans="6:6" ht="33" customHeight="1" x14ac:dyDescent="0.3">
      <c r="F206" s="6">
        <v>46227</v>
      </c>
    </row>
    <row r="207" spans="6:6" ht="33" customHeight="1" x14ac:dyDescent="0.3">
      <c r="F207" s="6">
        <v>46228</v>
      </c>
    </row>
    <row r="208" spans="6:6" ht="33" customHeight="1" x14ac:dyDescent="0.3">
      <c r="F208" s="6">
        <v>46229</v>
      </c>
    </row>
    <row r="209" spans="6:6" ht="33" customHeight="1" x14ac:dyDescent="0.3">
      <c r="F209" s="6">
        <v>46230</v>
      </c>
    </row>
    <row r="210" spans="6:6" ht="33" customHeight="1" x14ac:dyDescent="0.3">
      <c r="F210" s="6">
        <v>46231</v>
      </c>
    </row>
    <row r="211" spans="6:6" ht="33" customHeight="1" x14ac:dyDescent="0.3">
      <c r="F211" s="6">
        <v>46232</v>
      </c>
    </row>
    <row r="212" spans="6:6" ht="33" customHeight="1" x14ac:dyDescent="0.3">
      <c r="F212" s="6">
        <v>46233</v>
      </c>
    </row>
    <row r="213" spans="6:6" ht="33" customHeight="1" x14ac:dyDescent="0.3">
      <c r="F213" s="6">
        <v>46234</v>
      </c>
    </row>
    <row r="214" spans="6:6" ht="33" customHeight="1" x14ac:dyDescent="0.3">
      <c r="F214" s="6">
        <v>46235</v>
      </c>
    </row>
    <row r="215" spans="6:6" ht="33" customHeight="1" x14ac:dyDescent="0.3">
      <c r="F215" s="6">
        <v>46236</v>
      </c>
    </row>
    <row r="216" spans="6:6" ht="33" customHeight="1" x14ac:dyDescent="0.3">
      <c r="F216" s="6">
        <v>46237</v>
      </c>
    </row>
    <row r="217" spans="6:6" ht="33" customHeight="1" x14ac:dyDescent="0.3">
      <c r="F217" s="6">
        <v>46238</v>
      </c>
    </row>
    <row r="218" spans="6:6" ht="33" customHeight="1" x14ac:dyDescent="0.3">
      <c r="F218" s="6">
        <v>46239</v>
      </c>
    </row>
    <row r="219" spans="6:6" ht="33" customHeight="1" x14ac:dyDescent="0.3">
      <c r="F219" s="6">
        <v>46240</v>
      </c>
    </row>
    <row r="220" spans="6:6" ht="33" customHeight="1" x14ac:dyDescent="0.3">
      <c r="F220" s="6">
        <v>46241</v>
      </c>
    </row>
    <row r="221" spans="6:6" ht="33" customHeight="1" x14ac:dyDescent="0.3">
      <c r="F221" s="6">
        <v>46242</v>
      </c>
    </row>
    <row r="222" spans="6:6" ht="33" customHeight="1" x14ac:dyDescent="0.3">
      <c r="F222" s="6">
        <v>46243</v>
      </c>
    </row>
    <row r="223" spans="6:6" ht="33" customHeight="1" x14ac:dyDescent="0.3">
      <c r="F223" s="6">
        <v>46244</v>
      </c>
    </row>
    <row r="224" spans="6:6" ht="33" customHeight="1" x14ac:dyDescent="0.3">
      <c r="F224" s="6">
        <v>46245</v>
      </c>
    </row>
    <row r="225" spans="6:6" ht="33" customHeight="1" x14ac:dyDescent="0.3">
      <c r="F225" s="6">
        <v>46246</v>
      </c>
    </row>
    <row r="226" spans="6:6" ht="33" customHeight="1" x14ac:dyDescent="0.3">
      <c r="F226" s="6">
        <v>46247</v>
      </c>
    </row>
    <row r="227" spans="6:6" ht="33" customHeight="1" x14ac:dyDescent="0.3">
      <c r="F227" s="6">
        <v>46248</v>
      </c>
    </row>
    <row r="228" spans="6:6" ht="33" customHeight="1" x14ac:dyDescent="0.3">
      <c r="F228" s="6">
        <v>46249</v>
      </c>
    </row>
    <row r="229" spans="6:6" ht="33" customHeight="1" x14ac:dyDescent="0.3">
      <c r="F229" s="6">
        <v>46250</v>
      </c>
    </row>
    <row r="230" spans="6:6" ht="33" customHeight="1" x14ac:dyDescent="0.3">
      <c r="F230" s="6">
        <v>46251</v>
      </c>
    </row>
    <row r="231" spans="6:6" ht="33" customHeight="1" x14ac:dyDescent="0.3">
      <c r="F231" s="6">
        <v>46252</v>
      </c>
    </row>
    <row r="232" spans="6:6" ht="33" customHeight="1" x14ac:dyDescent="0.3">
      <c r="F232" s="6">
        <v>46253</v>
      </c>
    </row>
    <row r="233" spans="6:6" ht="33" customHeight="1" x14ac:dyDescent="0.3">
      <c r="F233" s="6">
        <v>46254</v>
      </c>
    </row>
    <row r="234" spans="6:6" ht="33" customHeight="1" x14ac:dyDescent="0.3">
      <c r="F234" s="6">
        <v>46255</v>
      </c>
    </row>
    <row r="235" spans="6:6" ht="33" customHeight="1" x14ac:dyDescent="0.3">
      <c r="F235" s="6">
        <v>46256</v>
      </c>
    </row>
    <row r="236" spans="6:6" ht="33" customHeight="1" x14ac:dyDescent="0.3">
      <c r="F236" s="6">
        <v>46257</v>
      </c>
    </row>
    <row r="237" spans="6:6" ht="33" customHeight="1" x14ac:dyDescent="0.3">
      <c r="F237" s="6">
        <v>46258</v>
      </c>
    </row>
    <row r="238" spans="6:6" ht="33" customHeight="1" x14ac:dyDescent="0.3">
      <c r="F238" s="6">
        <v>46259</v>
      </c>
    </row>
    <row r="239" spans="6:6" ht="33" customHeight="1" x14ac:dyDescent="0.3">
      <c r="F239" s="6">
        <v>46260</v>
      </c>
    </row>
    <row r="240" spans="6:6" ht="33" customHeight="1" x14ac:dyDescent="0.3">
      <c r="F240" s="6">
        <v>46261</v>
      </c>
    </row>
    <row r="241" spans="6:6" ht="33" customHeight="1" x14ac:dyDescent="0.3">
      <c r="F241" s="6">
        <v>46262</v>
      </c>
    </row>
    <row r="242" spans="6:6" ht="33" customHeight="1" x14ac:dyDescent="0.3">
      <c r="F242" s="6">
        <v>46263</v>
      </c>
    </row>
    <row r="243" spans="6:6" ht="33" customHeight="1" x14ac:dyDescent="0.3">
      <c r="F243" s="6">
        <v>46264</v>
      </c>
    </row>
    <row r="244" spans="6:6" ht="33" customHeight="1" x14ac:dyDescent="0.3">
      <c r="F244" s="6">
        <v>46265</v>
      </c>
    </row>
    <row r="245" spans="6:6" ht="33" customHeight="1" x14ac:dyDescent="0.3">
      <c r="F245" s="6">
        <v>46266</v>
      </c>
    </row>
    <row r="246" spans="6:6" ht="33" customHeight="1" x14ac:dyDescent="0.3">
      <c r="F246" s="6">
        <v>46267</v>
      </c>
    </row>
    <row r="247" spans="6:6" ht="33" customHeight="1" x14ac:dyDescent="0.3">
      <c r="F247" s="6">
        <v>46268</v>
      </c>
    </row>
    <row r="248" spans="6:6" ht="33" customHeight="1" x14ac:dyDescent="0.3">
      <c r="F248" s="6">
        <v>46269</v>
      </c>
    </row>
    <row r="249" spans="6:6" ht="33" customHeight="1" x14ac:dyDescent="0.3">
      <c r="F249" s="6">
        <v>46270</v>
      </c>
    </row>
    <row r="250" spans="6:6" ht="33" customHeight="1" x14ac:dyDescent="0.3">
      <c r="F250" s="6">
        <v>46271</v>
      </c>
    </row>
    <row r="251" spans="6:6" ht="33" customHeight="1" x14ac:dyDescent="0.3">
      <c r="F251" s="6">
        <v>46272</v>
      </c>
    </row>
    <row r="252" spans="6:6" ht="33" customHeight="1" x14ac:dyDescent="0.3">
      <c r="F252" s="6">
        <v>46273</v>
      </c>
    </row>
    <row r="253" spans="6:6" ht="33" customHeight="1" x14ac:dyDescent="0.3">
      <c r="F253" s="6">
        <v>46274</v>
      </c>
    </row>
    <row r="254" spans="6:6" ht="33" customHeight="1" x14ac:dyDescent="0.3">
      <c r="F254" s="6">
        <v>46275</v>
      </c>
    </row>
    <row r="255" spans="6:6" ht="33" customHeight="1" x14ac:dyDescent="0.3">
      <c r="F255" s="6">
        <v>46276</v>
      </c>
    </row>
    <row r="256" spans="6:6" ht="33" customHeight="1" x14ac:dyDescent="0.3">
      <c r="F256" s="6">
        <v>46277</v>
      </c>
    </row>
    <row r="257" spans="6:6" ht="33" customHeight="1" x14ac:dyDescent="0.3">
      <c r="F257" s="6">
        <v>46278</v>
      </c>
    </row>
    <row r="258" spans="6:6" ht="33" customHeight="1" x14ac:dyDescent="0.3">
      <c r="F258" s="6">
        <v>46279</v>
      </c>
    </row>
    <row r="259" spans="6:6" ht="33" customHeight="1" x14ac:dyDescent="0.3">
      <c r="F259" s="6">
        <v>46280</v>
      </c>
    </row>
    <row r="260" spans="6:6" ht="33" customHeight="1" x14ac:dyDescent="0.3">
      <c r="F260" s="6">
        <v>46281</v>
      </c>
    </row>
    <row r="261" spans="6:6" ht="33" customHeight="1" x14ac:dyDescent="0.3">
      <c r="F261" s="6">
        <v>46282</v>
      </c>
    </row>
    <row r="262" spans="6:6" ht="33" customHeight="1" x14ac:dyDescent="0.3">
      <c r="F262" s="6">
        <v>46283</v>
      </c>
    </row>
    <row r="263" spans="6:6" ht="33" customHeight="1" x14ac:dyDescent="0.3">
      <c r="F263" s="6">
        <v>46284</v>
      </c>
    </row>
    <row r="264" spans="6:6" ht="33" customHeight="1" x14ac:dyDescent="0.3">
      <c r="F264" s="6">
        <v>46285</v>
      </c>
    </row>
    <row r="265" spans="6:6" ht="33" customHeight="1" x14ac:dyDescent="0.3">
      <c r="F265" s="6">
        <v>46286</v>
      </c>
    </row>
    <row r="266" spans="6:6" ht="33" customHeight="1" x14ac:dyDescent="0.3">
      <c r="F266" s="6">
        <v>46287</v>
      </c>
    </row>
    <row r="267" spans="6:6" ht="33" customHeight="1" x14ac:dyDescent="0.3">
      <c r="F267" s="6">
        <v>46288</v>
      </c>
    </row>
    <row r="268" spans="6:6" ht="33" customHeight="1" x14ac:dyDescent="0.3">
      <c r="F268" s="6">
        <v>46289</v>
      </c>
    </row>
    <row r="269" spans="6:6" ht="33" customHeight="1" x14ac:dyDescent="0.3">
      <c r="F269" s="6">
        <v>46290</v>
      </c>
    </row>
    <row r="270" spans="6:6" ht="33" customHeight="1" x14ac:dyDescent="0.3">
      <c r="F270" s="6">
        <v>46291</v>
      </c>
    </row>
    <row r="271" spans="6:6" ht="33" customHeight="1" x14ac:dyDescent="0.3">
      <c r="F271" s="6">
        <v>46292</v>
      </c>
    </row>
    <row r="272" spans="6:6" ht="33" customHeight="1" x14ac:dyDescent="0.3">
      <c r="F272" s="6">
        <v>46293</v>
      </c>
    </row>
    <row r="273" spans="6:6" ht="33" customHeight="1" x14ac:dyDescent="0.3">
      <c r="F273" s="6">
        <v>46294</v>
      </c>
    </row>
    <row r="274" spans="6:6" ht="33" customHeight="1" x14ac:dyDescent="0.3">
      <c r="F274" s="6">
        <v>46295</v>
      </c>
    </row>
    <row r="275" spans="6:6" ht="33" customHeight="1" x14ac:dyDescent="0.3">
      <c r="F275" s="6">
        <v>46296</v>
      </c>
    </row>
    <row r="276" spans="6:6" ht="33" customHeight="1" x14ac:dyDescent="0.3">
      <c r="F276" s="6">
        <v>46297</v>
      </c>
    </row>
    <row r="277" spans="6:6" ht="33" customHeight="1" x14ac:dyDescent="0.3">
      <c r="F277" s="6">
        <v>46298</v>
      </c>
    </row>
    <row r="278" spans="6:6" ht="33" customHeight="1" x14ac:dyDescent="0.3">
      <c r="F278" s="6">
        <v>46299</v>
      </c>
    </row>
    <row r="279" spans="6:6" ht="33" customHeight="1" x14ac:dyDescent="0.3">
      <c r="F279" s="6">
        <v>46300</v>
      </c>
    </row>
    <row r="280" spans="6:6" ht="33" customHeight="1" x14ac:dyDescent="0.3">
      <c r="F280" s="6">
        <v>46301</v>
      </c>
    </row>
    <row r="281" spans="6:6" ht="33" customHeight="1" x14ac:dyDescent="0.3">
      <c r="F281" s="6">
        <v>46302</v>
      </c>
    </row>
    <row r="282" spans="6:6" ht="33" customHeight="1" x14ac:dyDescent="0.3">
      <c r="F282" s="6">
        <v>46303</v>
      </c>
    </row>
    <row r="283" spans="6:6" ht="33" customHeight="1" x14ac:dyDescent="0.3">
      <c r="F283" s="6">
        <v>46304</v>
      </c>
    </row>
    <row r="284" spans="6:6" ht="33" customHeight="1" x14ac:dyDescent="0.3">
      <c r="F284" s="6">
        <v>46305</v>
      </c>
    </row>
    <row r="285" spans="6:6" ht="33" customHeight="1" x14ac:dyDescent="0.3">
      <c r="F285" s="6">
        <v>46306</v>
      </c>
    </row>
    <row r="286" spans="6:6" ht="33" customHeight="1" x14ac:dyDescent="0.3">
      <c r="F286" s="6">
        <v>46307</v>
      </c>
    </row>
    <row r="287" spans="6:6" ht="33" customHeight="1" x14ac:dyDescent="0.3">
      <c r="F287" s="6">
        <v>46308</v>
      </c>
    </row>
    <row r="288" spans="6:6" ht="33" customHeight="1" x14ac:dyDescent="0.3">
      <c r="F288" s="6">
        <v>46309</v>
      </c>
    </row>
    <row r="289" spans="6:6" ht="33" customHeight="1" x14ac:dyDescent="0.3">
      <c r="F289" s="6">
        <v>46310</v>
      </c>
    </row>
    <row r="290" spans="6:6" ht="33" customHeight="1" x14ac:dyDescent="0.3">
      <c r="F290" s="6">
        <v>46311</v>
      </c>
    </row>
    <row r="291" spans="6:6" ht="33" customHeight="1" x14ac:dyDescent="0.3">
      <c r="F291" s="6">
        <v>46312</v>
      </c>
    </row>
    <row r="292" spans="6:6" ht="33" customHeight="1" x14ac:dyDescent="0.3">
      <c r="F292" s="6">
        <v>46313</v>
      </c>
    </row>
    <row r="293" spans="6:6" ht="33" customHeight="1" x14ac:dyDescent="0.3">
      <c r="F293" s="6">
        <v>46314</v>
      </c>
    </row>
    <row r="294" spans="6:6" ht="33" customHeight="1" x14ac:dyDescent="0.3">
      <c r="F294" s="6">
        <v>46315</v>
      </c>
    </row>
    <row r="295" spans="6:6" ht="33" customHeight="1" x14ac:dyDescent="0.3">
      <c r="F295" s="6">
        <v>46316</v>
      </c>
    </row>
    <row r="296" spans="6:6" ht="33" customHeight="1" x14ac:dyDescent="0.3">
      <c r="F296" s="6">
        <v>46317</v>
      </c>
    </row>
    <row r="297" spans="6:6" ht="33" customHeight="1" x14ac:dyDescent="0.3">
      <c r="F297" s="6">
        <v>46318</v>
      </c>
    </row>
    <row r="298" spans="6:6" ht="33" customHeight="1" x14ac:dyDescent="0.3">
      <c r="F298" s="6">
        <v>46319</v>
      </c>
    </row>
    <row r="299" spans="6:6" ht="33" customHeight="1" x14ac:dyDescent="0.3">
      <c r="F299" s="6">
        <v>46320</v>
      </c>
    </row>
    <row r="300" spans="6:6" ht="33" customHeight="1" x14ac:dyDescent="0.3">
      <c r="F300" s="6">
        <v>46321</v>
      </c>
    </row>
    <row r="301" spans="6:6" ht="33" customHeight="1" x14ac:dyDescent="0.3">
      <c r="F301" s="6">
        <v>46322</v>
      </c>
    </row>
    <row r="302" spans="6:6" ht="33" customHeight="1" x14ac:dyDescent="0.3">
      <c r="F302" s="6">
        <v>46323</v>
      </c>
    </row>
    <row r="303" spans="6:6" ht="33" customHeight="1" x14ac:dyDescent="0.3">
      <c r="F303" s="6">
        <v>46324</v>
      </c>
    </row>
    <row r="304" spans="6:6" ht="33" customHeight="1" x14ac:dyDescent="0.3">
      <c r="F304" s="6">
        <v>46325</v>
      </c>
    </row>
    <row r="305" spans="6:6" ht="33" customHeight="1" x14ac:dyDescent="0.3">
      <c r="F305" s="6">
        <v>46326</v>
      </c>
    </row>
    <row r="306" spans="6:6" ht="33" customHeight="1" x14ac:dyDescent="0.3">
      <c r="F306" s="6">
        <v>46327</v>
      </c>
    </row>
    <row r="307" spans="6:6" ht="33" customHeight="1" x14ac:dyDescent="0.3">
      <c r="F307" s="6">
        <v>46328</v>
      </c>
    </row>
    <row r="308" spans="6:6" ht="33" customHeight="1" x14ac:dyDescent="0.3">
      <c r="F308" s="6">
        <v>46329</v>
      </c>
    </row>
    <row r="309" spans="6:6" ht="33" customHeight="1" x14ac:dyDescent="0.3">
      <c r="F309" s="6">
        <v>46330</v>
      </c>
    </row>
    <row r="310" spans="6:6" ht="33" customHeight="1" x14ac:dyDescent="0.3">
      <c r="F310" s="6">
        <v>46331</v>
      </c>
    </row>
    <row r="311" spans="6:6" ht="33" customHeight="1" x14ac:dyDescent="0.3">
      <c r="F311" s="6">
        <v>46332</v>
      </c>
    </row>
    <row r="312" spans="6:6" ht="33" customHeight="1" x14ac:dyDescent="0.3">
      <c r="F312" s="6">
        <v>46333</v>
      </c>
    </row>
    <row r="313" spans="6:6" ht="33" customHeight="1" x14ac:dyDescent="0.3">
      <c r="F313" s="6">
        <v>46334</v>
      </c>
    </row>
    <row r="314" spans="6:6" ht="33" customHeight="1" x14ac:dyDescent="0.3">
      <c r="F314" s="6">
        <v>46335</v>
      </c>
    </row>
    <row r="315" spans="6:6" ht="33" customHeight="1" x14ac:dyDescent="0.3">
      <c r="F315" s="6">
        <v>46336</v>
      </c>
    </row>
    <row r="316" spans="6:6" ht="33" customHeight="1" x14ac:dyDescent="0.3">
      <c r="F316" s="6">
        <v>46337</v>
      </c>
    </row>
    <row r="317" spans="6:6" ht="33" customHeight="1" x14ac:dyDescent="0.3">
      <c r="F317" s="6">
        <v>46338</v>
      </c>
    </row>
    <row r="318" spans="6:6" ht="33" customHeight="1" x14ac:dyDescent="0.3">
      <c r="F318" s="6">
        <v>46339</v>
      </c>
    </row>
    <row r="319" spans="6:6" ht="33" customHeight="1" x14ac:dyDescent="0.3">
      <c r="F319" s="6">
        <v>46340</v>
      </c>
    </row>
    <row r="320" spans="6:6" ht="33" customHeight="1" x14ac:dyDescent="0.3">
      <c r="F320" s="6">
        <v>46341</v>
      </c>
    </row>
    <row r="321" spans="6:6" ht="33" customHeight="1" x14ac:dyDescent="0.3">
      <c r="F321" s="6">
        <v>46342</v>
      </c>
    </row>
    <row r="322" spans="6:6" ht="33" customHeight="1" x14ac:dyDescent="0.3">
      <c r="F322" s="6">
        <v>46343</v>
      </c>
    </row>
    <row r="323" spans="6:6" ht="33" customHeight="1" x14ac:dyDescent="0.3">
      <c r="F323" s="6">
        <v>46344</v>
      </c>
    </row>
    <row r="324" spans="6:6" ht="33" customHeight="1" x14ac:dyDescent="0.3">
      <c r="F324" s="6">
        <v>46345</v>
      </c>
    </row>
    <row r="325" spans="6:6" ht="33" customHeight="1" x14ac:dyDescent="0.3">
      <c r="F325" s="6">
        <v>46346</v>
      </c>
    </row>
    <row r="326" spans="6:6" ht="33" customHeight="1" x14ac:dyDescent="0.3">
      <c r="F326" s="6">
        <v>46347</v>
      </c>
    </row>
    <row r="327" spans="6:6" ht="33" customHeight="1" x14ac:dyDescent="0.3">
      <c r="F327" s="6">
        <v>46348</v>
      </c>
    </row>
    <row r="328" spans="6:6" ht="33" customHeight="1" x14ac:dyDescent="0.3">
      <c r="F328" s="6">
        <v>46349</v>
      </c>
    </row>
    <row r="329" spans="6:6" ht="33" customHeight="1" x14ac:dyDescent="0.3">
      <c r="F329" s="6">
        <v>46350</v>
      </c>
    </row>
    <row r="330" spans="6:6" ht="33" customHeight="1" x14ac:dyDescent="0.3">
      <c r="F330" s="6">
        <v>46351</v>
      </c>
    </row>
    <row r="331" spans="6:6" ht="33" customHeight="1" x14ac:dyDescent="0.3">
      <c r="F331" s="6">
        <v>46352</v>
      </c>
    </row>
    <row r="332" spans="6:6" ht="33" customHeight="1" x14ac:dyDescent="0.3">
      <c r="F332" s="6">
        <v>46353</v>
      </c>
    </row>
    <row r="333" spans="6:6" ht="33" customHeight="1" x14ac:dyDescent="0.3">
      <c r="F333" s="6">
        <v>46354</v>
      </c>
    </row>
    <row r="334" spans="6:6" ht="33" customHeight="1" x14ac:dyDescent="0.3">
      <c r="F334" s="6">
        <v>46355</v>
      </c>
    </row>
    <row r="335" spans="6:6" ht="33" customHeight="1" x14ac:dyDescent="0.3">
      <c r="F335" s="6">
        <v>46356</v>
      </c>
    </row>
    <row r="336" spans="6:6" ht="33" customHeight="1" x14ac:dyDescent="0.3">
      <c r="F336" s="6">
        <v>46357</v>
      </c>
    </row>
    <row r="337" spans="6:6" ht="33" customHeight="1" x14ac:dyDescent="0.3">
      <c r="F337" s="6">
        <v>46358</v>
      </c>
    </row>
    <row r="338" spans="6:6" ht="33" customHeight="1" x14ac:dyDescent="0.3">
      <c r="F338" s="6">
        <v>46359</v>
      </c>
    </row>
    <row r="339" spans="6:6" ht="33" customHeight="1" x14ac:dyDescent="0.3">
      <c r="F339" s="6">
        <v>46360</v>
      </c>
    </row>
    <row r="340" spans="6:6" ht="33" customHeight="1" x14ac:dyDescent="0.3">
      <c r="F340" s="6">
        <v>46361</v>
      </c>
    </row>
    <row r="341" spans="6:6" ht="33" customHeight="1" x14ac:dyDescent="0.3">
      <c r="F341" s="6">
        <v>46362</v>
      </c>
    </row>
    <row r="342" spans="6:6" ht="33" customHeight="1" x14ac:dyDescent="0.3">
      <c r="F342" s="6">
        <v>46363</v>
      </c>
    </row>
    <row r="343" spans="6:6" ht="33" customHeight="1" x14ac:dyDescent="0.3">
      <c r="F343" s="6">
        <v>46364</v>
      </c>
    </row>
    <row r="344" spans="6:6" ht="33" customHeight="1" x14ac:dyDescent="0.3">
      <c r="F344" s="6">
        <v>46365</v>
      </c>
    </row>
    <row r="345" spans="6:6" ht="33" customHeight="1" x14ac:dyDescent="0.3">
      <c r="F345" s="6">
        <v>46366</v>
      </c>
    </row>
    <row r="346" spans="6:6" ht="33" customHeight="1" x14ac:dyDescent="0.3">
      <c r="F346" s="6">
        <v>46367</v>
      </c>
    </row>
    <row r="347" spans="6:6" ht="33" customHeight="1" x14ac:dyDescent="0.3">
      <c r="F347" s="6">
        <v>46368</v>
      </c>
    </row>
    <row r="348" spans="6:6" ht="33" customHeight="1" x14ac:dyDescent="0.3">
      <c r="F348" s="6">
        <v>46369</v>
      </c>
    </row>
    <row r="349" spans="6:6" ht="33" customHeight="1" x14ac:dyDescent="0.3">
      <c r="F349" s="6">
        <v>46370</v>
      </c>
    </row>
    <row r="350" spans="6:6" ht="33" customHeight="1" x14ac:dyDescent="0.3">
      <c r="F350" s="6">
        <v>46371</v>
      </c>
    </row>
    <row r="351" spans="6:6" ht="33" customHeight="1" x14ac:dyDescent="0.3">
      <c r="F351" s="6">
        <v>46372</v>
      </c>
    </row>
    <row r="352" spans="6:6" ht="33" customHeight="1" x14ac:dyDescent="0.3">
      <c r="F352" s="6">
        <v>46373</v>
      </c>
    </row>
    <row r="353" spans="6:20" ht="33" customHeight="1" x14ac:dyDescent="0.3">
      <c r="F353" s="6">
        <v>46374</v>
      </c>
    </row>
    <row r="354" spans="6:20" ht="33" customHeight="1" x14ac:dyDescent="0.3">
      <c r="F354" s="6">
        <v>46375</v>
      </c>
    </row>
    <row r="355" spans="6:20" ht="33" customHeight="1" x14ac:dyDescent="0.3">
      <c r="F355" s="6">
        <v>46376</v>
      </c>
    </row>
    <row r="356" spans="6:20" ht="33" customHeight="1" x14ac:dyDescent="0.3">
      <c r="F356" s="6">
        <v>46377</v>
      </c>
    </row>
    <row r="357" spans="6:20" ht="33" customHeight="1" x14ac:dyDescent="0.3">
      <c r="F357" s="6">
        <v>46378</v>
      </c>
    </row>
    <row r="358" spans="6:20" ht="33" customHeight="1" x14ac:dyDescent="0.3">
      <c r="F358" s="6">
        <v>46379</v>
      </c>
    </row>
    <row r="359" spans="6:20" ht="33" customHeight="1" x14ac:dyDescent="0.3">
      <c r="F359" s="6">
        <v>46380</v>
      </c>
    </row>
    <row r="360" spans="6:20" ht="33" customHeight="1" x14ac:dyDescent="0.3">
      <c r="F360" s="6">
        <v>46381</v>
      </c>
    </row>
    <row r="361" spans="6:20" ht="33" customHeight="1" x14ac:dyDescent="0.3">
      <c r="F361" s="6">
        <v>46382</v>
      </c>
    </row>
    <row r="362" spans="6:20" ht="33" customHeight="1" x14ac:dyDescent="0.3">
      <c r="F362" s="6">
        <v>46383</v>
      </c>
    </row>
    <row r="363" spans="6:20" ht="33" customHeight="1" x14ac:dyDescent="0.3">
      <c r="F363" s="6">
        <v>46384</v>
      </c>
    </row>
    <row r="364" spans="6:20" ht="33" customHeight="1" x14ac:dyDescent="0.3">
      <c r="F364" s="6">
        <v>46385</v>
      </c>
    </row>
    <row r="365" spans="6:20" ht="33" customHeight="1" x14ac:dyDescent="0.3">
      <c r="F365" s="6">
        <v>46386</v>
      </c>
    </row>
    <row r="366" spans="6:20" ht="33" customHeight="1" x14ac:dyDescent="0.3">
      <c r="F366" s="6">
        <v>46387</v>
      </c>
    </row>
    <row r="367" spans="6:20" ht="33" customHeight="1" x14ac:dyDescent="0.45">
      <c r="F367" s="3" t="s">
        <v>12</v>
      </c>
      <c r="G367" s="4">
        <f>SUM(G2:G366)</f>
        <v>-23129.05</v>
      </c>
      <c r="H367" s="4">
        <f>SUM(H2:H366)</f>
        <v>-2</v>
      </c>
      <c r="I367" s="4">
        <f>SUM(I2:I366)</f>
        <v>0</v>
      </c>
      <c r="J367" s="4">
        <f>SUM(J2:J366)</f>
        <v>24379.729999999996</v>
      </c>
      <c r="K367" s="4">
        <f>SUM(K2:K366)</f>
        <v>3</v>
      </c>
      <c r="L367" s="4">
        <f t="shared" ref="L367:T367" si="1">SUM(L2:L366)</f>
        <v>0</v>
      </c>
      <c r="M367" s="4">
        <f t="shared" si="1"/>
        <v>13448.85</v>
      </c>
      <c r="N367" s="4">
        <f t="shared" si="1"/>
        <v>8773.27</v>
      </c>
      <c r="O367" s="4">
        <f t="shared" si="1"/>
        <v>2676.91</v>
      </c>
      <c r="P367" s="4">
        <f t="shared" si="1"/>
        <v>0</v>
      </c>
      <c r="Q367" s="4">
        <f t="shared" si="1"/>
        <v>0</v>
      </c>
      <c r="R367" s="4">
        <f t="shared" si="1"/>
        <v>0</v>
      </c>
      <c r="S367" s="4">
        <f t="shared" si="1"/>
        <v>0</v>
      </c>
      <c r="T367" s="4">
        <f t="shared" si="1"/>
        <v>0</v>
      </c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7"/>
  <sheetViews>
    <sheetView zoomScale="85" zoomScaleNormal="85" workbookViewId="0">
      <pane ySplit="1" topLeftCell="A10" activePane="bottomLeft" state="frozen"/>
      <selection pane="bottomLeft" activeCell="O37" sqref="O37"/>
    </sheetView>
  </sheetViews>
  <sheetFormatPr defaultRowHeight="14.4" x14ac:dyDescent="0.3"/>
  <cols>
    <col min="1" max="1" width="74.44140625" customWidth="1"/>
    <col min="2" max="2" width="24" bestFit="1" customWidth="1"/>
    <col min="3" max="3" width="44.44140625" customWidth="1"/>
    <col min="4" max="4" width="15" bestFit="1" customWidth="1"/>
    <col min="6" max="6" width="16.109375" customWidth="1"/>
    <col min="7" max="9" width="26" customWidth="1"/>
    <col min="10" max="11" width="24.5546875" customWidth="1"/>
    <col min="12" max="20" width="18.6640625" customWidth="1"/>
  </cols>
  <sheetData>
    <row r="1" spans="1:20" ht="33" customHeight="1" x14ac:dyDescent="0.5">
      <c r="A1" s="10" t="s">
        <v>5</v>
      </c>
      <c r="B1" s="23">
        <f>SUM(G367,I367,J367)</f>
        <v>130520</v>
      </c>
      <c r="F1" s="5" t="s">
        <v>3</v>
      </c>
      <c r="G1" s="7" t="s">
        <v>16</v>
      </c>
      <c r="H1" s="7" t="s">
        <v>35</v>
      </c>
      <c r="I1" s="7" t="s">
        <v>17</v>
      </c>
      <c r="J1" s="7" t="s">
        <v>18</v>
      </c>
      <c r="K1" s="7" t="s">
        <v>36</v>
      </c>
      <c r="L1" s="7" t="s">
        <v>6</v>
      </c>
      <c r="M1" s="7" t="s">
        <v>7</v>
      </c>
      <c r="N1" s="7" t="s">
        <v>11</v>
      </c>
      <c r="O1" s="7" t="s">
        <v>9</v>
      </c>
      <c r="P1" s="7" t="s">
        <v>10</v>
      </c>
      <c r="Q1" s="7" t="s">
        <v>13</v>
      </c>
      <c r="R1" s="7" t="s">
        <v>8</v>
      </c>
      <c r="S1" s="7" t="s">
        <v>14</v>
      </c>
      <c r="T1" s="7" t="s">
        <v>15</v>
      </c>
    </row>
    <row r="2" spans="1:20" ht="33" customHeight="1" x14ac:dyDescent="0.5">
      <c r="A2" s="11" t="s">
        <v>4</v>
      </c>
      <c r="B2" s="24">
        <f>SUM(I367,J367)</f>
        <v>93113.3</v>
      </c>
      <c r="F2" s="6">
        <v>46023</v>
      </c>
    </row>
    <row r="3" spans="1:20" ht="33" customHeight="1" x14ac:dyDescent="0.5">
      <c r="A3" s="8" t="s">
        <v>19</v>
      </c>
      <c r="B3" s="25">
        <f>SUM(L367,M367,N367,O367,P367,Q367,R367,S367,T367)</f>
        <v>41707.19</v>
      </c>
      <c r="F3" s="6">
        <v>46024</v>
      </c>
    </row>
    <row r="4" spans="1:20" ht="33" customHeight="1" x14ac:dyDescent="0.5">
      <c r="A4" s="13" t="s">
        <v>0</v>
      </c>
      <c r="B4" s="26">
        <f>K367</f>
        <v>6</v>
      </c>
      <c r="F4" s="6">
        <v>46025</v>
      </c>
    </row>
    <row r="5" spans="1:20" ht="33" customHeight="1" x14ac:dyDescent="0.5">
      <c r="A5" s="15" t="s">
        <v>1</v>
      </c>
      <c r="B5" s="27">
        <f>H367</f>
        <v>3</v>
      </c>
      <c r="F5" s="6">
        <v>46026</v>
      </c>
    </row>
    <row r="6" spans="1:20" ht="33" customHeight="1" x14ac:dyDescent="0.5">
      <c r="A6" s="16" t="s">
        <v>20</v>
      </c>
      <c r="B6" s="44">
        <f>IF(B1+B3=0,0,B2/(B1+B3))</f>
        <v>0.54064227605408877</v>
      </c>
      <c r="F6" s="6">
        <v>46027</v>
      </c>
    </row>
    <row r="7" spans="1:20" ht="33" customHeight="1" x14ac:dyDescent="0.5">
      <c r="A7" s="18" t="s">
        <v>27</v>
      </c>
      <c r="B7" s="27" t="str">
        <f>IF(B6&lt;=0.699, "✅ Uygun", "❌ Aşıldı")</f>
        <v>✅ Uygun</v>
      </c>
      <c r="F7" s="6">
        <v>46028</v>
      </c>
    </row>
    <row r="8" spans="1:20" ht="33" customHeight="1" x14ac:dyDescent="0.5">
      <c r="A8" s="19" t="s">
        <v>22</v>
      </c>
      <c r="B8" s="26">
        <f>B4*0.3</f>
        <v>1.7999999999999998</v>
      </c>
      <c r="F8" s="6">
        <v>46029</v>
      </c>
    </row>
    <row r="9" spans="1:20" ht="33" customHeight="1" x14ac:dyDescent="0.5">
      <c r="A9" s="14" t="s">
        <v>2</v>
      </c>
      <c r="B9" s="27" t="str">
        <f>IF(B5&gt;=B8, "✅ Uygun", "❌ Yetersiz")</f>
        <v>✅ Uygun</v>
      </c>
      <c r="F9" s="6">
        <v>46030</v>
      </c>
    </row>
    <row r="10" spans="1:20" ht="33" customHeight="1" x14ac:dyDescent="0.5">
      <c r="A10" s="12" t="s">
        <v>26</v>
      </c>
      <c r="B10" s="28">
        <f>IF(B1=0,0,B1/0.799 - B1)-B3</f>
        <v>-8872.9972590738616</v>
      </c>
      <c r="F10" s="6">
        <v>46031</v>
      </c>
    </row>
    <row r="11" spans="1:20" ht="33" customHeight="1" x14ac:dyDescent="0.5">
      <c r="A11" s="21" t="s">
        <v>21</v>
      </c>
      <c r="B11" s="43">
        <f>IF(SUM(B1,B3)=0, 0, B1/SUM(B1,B3))</f>
        <v>0.75783620460857548</v>
      </c>
      <c r="F11" s="6">
        <v>46032</v>
      </c>
    </row>
    <row r="12" spans="1:20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6">
        <v>46033</v>
      </c>
    </row>
    <row r="13" spans="1:20" ht="33" customHeight="1" x14ac:dyDescent="0.5">
      <c r="A13" s="17" t="s">
        <v>25</v>
      </c>
      <c r="B13" s="30">
        <f>IF(B2=0,0,B2/0.699 - B2)-B3</f>
        <v>-1611.191001430605</v>
      </c>
      <c r="C13" s="1"/>
      <c r="F13" s="6">
        <v>46034</v>
      </c>
    </row>
    <row r="14" spans="1:20" ht="33" customHeight="1" x14ac:dyDescent="0.5">
      <c r="A14" s="9" t="s">
        <v>23</v>
      </c>
      <c r="B14" s="41">
        <f>IF(B2=0,0,(M367+O367+P367+R367+T367)/B2)</f>
        <v>0.1937321521200516</v>
      </c>
      <c r="F14" s="6">
        <v>46035</v>
      </c>
    </row>
    <row r="15" spans="1:20" ht="33" customHeight="1" x14ac:dyDescent="0.5">
      <c r="A15" s="22" t="s">
        <v>24</v>
      </c>
      <c r="B15" s="27" t="str">
        <f>IF(B14&gt;=0.1,"✅ Uygun","❌ Aşıldı")</f>
        <v>✅ Uygun</v>
      </c>
      <c r="F15" s="6">
        <v>46036</v>
      </c>
    </row>
    <row r="16" spans="1:20" ht="33" customHeight="1" x14ac:dyDescent="0.5">
      <c r="A16" s="22" t="s">
        <v>38</v>
      </c>
      <c r="B16" s="25">
        <f>M367+O367+P367+R367+T367</f>
        <v>18039.04</v>
      </c>
      <c r="F16" s="6">
        <v>46037</v>
      </c>
    </row>
    <row r="17" spans="1:15" ht="33" customHeight="1" x14ac:dyDescent="0.3">
      <c r="F17" s="6">
        <v>46038</v>
      </c>
    </row>
    <row r="18" spans="1:15" ht="33" customHeight="1" x14ac:dyDescent="0.55000000000000004">
      <c r="A18" s="48" t="s">
        <v>31</v>
      </c>
      <c r="B18" s="49"/>
      <c r="F18" s="6">
        <v>46039</v>
      </c>
    </row>
    <row r="19" spans="1:15" ht="33" customHeight="1" x14ac:dyDescent="0.5">
      <c r="A19" s="16" t="s">
        <v>20</v>
      </c>
      <c r="B19" s="42">
        <f>B6</f>
        <v>0.54064227605408877</v>
      </c>
      <c r="F19" s="6">
        <v>46040</v>
      </c>
    </row>
    <row r="20" spans="1:15" ht="33" customHeight="1" x14ac:dyDescent="0.5">
      <c r="A20" s="18" t="s">
        <v>27</v>
      </c>
      <c r="B20" s="32" t="str">
        <f>B7</f>
        <v>✅ Uygun</v>
      </c>
      <c r="F20" s="6">
        <v>46041</v>
      </c>
    </row>
    <row r="21" spans="1:15" ht="33" customHeight="1" x14ac:dyDescent="0.5">
      <c r="A21" s="17" t="s">
        <v>26</v>
      </c>
      <c r="B21" s="34">
        <f t="shared" ref="B21:B26" si="0">B10</f>
        <v>-8872.9972590738616</v>
      </c>
      <c r="F21" s="6">
        <v>46042</v>
      </c>
    </row>
    <row r="22" spans="1:15" ht="33" customHeight="1" x14ac:dyDescent="0.5">
      <c r="A22" s="21" t="s">
        <v>21</v>
      </c>
      <c r="B22" s="42">
        <f t="shared" si="0"/>
        <v>0.75783620460857548</v>
      </c>
      <c r="F22" s="6">
        <v>46043</v>
      </c>
      <c r="G22">
        <v>24767.69</v>
      </c>
      <c r="H22">
        <v>2</v>
      </c>
      <c r="I22">
        <v>13730.41</v>
      </c>
      <c r="J22">
        <v>30236.87</v>
      </c>
      <c r="K22">
        <v>3</v>
      </c>
      <c r="M22">
        <v>2236.89</v>
      </c>
      <c r="N22">
        <v>4422</v>
      </c>
      <c r="O22">
        <v>4447.5</v>
      </c>
    </row>
    <row r="23" spans="1:15" ht="33" customHeight="1" x14ac:dyDescent="0.5">
      <c r="A23" s="20" t="s">
        <v>28</v>
      </c>
      <c r="B23" s="33" t="str">
        <f t="shared" si="0"/>
        <v>✅ Uygun</v>
      </c>
      <c r="F23" s="6">
        <v>46044</v>
      </c>
    </row>
    <row r="24" spans="1:15" ht="33" customHeight="1" x14ac:dyDescent="0.5">
      <c r="A24" s="17" t="s">
        <v>25</v>
      </c>
      <c r="B24" s="34">
        <f>B13</f>
        <v>-1611.191001430605</v>
      </c>
      <c r="F24" s="6">
        <v>46045</v>
      </c>
    </row>
    <row r="25" spans="1:15" ht="33" customHeight="1" x14ac:dyDescent="0.5">
      <c r="A25" s="9" t="s">
        <v>23</v>
      </c>
      <c r="B25" s="42">
        <f t="shared" si="0"/>
        <v>0.1937321521200516</v>
      </c>
      <c r="F25" s="6">
        <v>46046</v>
      </c>
    </row>
    <row r="26" spans="1:15" ht="33" customHeight="1" x14ac:dyDescent="0.5">
      <c r="A26" s="22" t="s">
        <v>24</v>
      </c>
      <c r="B26" s="32" t="str">
        <f t="shared" si="0"/>
        <v>✅ Uygun</v>
      </c>
      <c r="F26" s="6">
        <v>46047</v>
      </c>
    </row>
    <row r="27" spans="1:15" ht="33" customHeight="1" x14ac:dyDescent="0.5">
      <c r="A27" s="14" t="s">
        <v>2</v>
      </c>
      <c r="B27" s="32" t="str">
        <f>B9</f>
        <v>✅ Uygun</v>
      </c>
      <c r="F27" s="6">
        <v>46048</v>
      </c>
      <c r="N27">
        <v>1474</v>
      </c>
    </row>
    <row r="28" spans="1:15" ht="33" customHeight="1" x14ac:dyDescent="0.3">
      <c r="F28" s="6">
        <v>46049</v>
      </c>
      <c r="I28">
        <v>13219.56</v>
      </c>
      <c r="J28">
        <v>7583.71</v>
      </c>
      <c r="K28">
        <v>1</v>
      </c>
      <c r="O28">
        <v>2382</v>
      </c>
    </row>
    <row r="29" spans="1:15" ht="33" customHeight="1" x14ac:dyDescent="0.3">
      <c r="F29" s="6">
        <v>46050</v>
      </c>
      <c r="G29">
        <v>12639.01</v>
      </c>
      <c r="H29">
        <v>1</v>
      </c>
      <c r="I29">
        <v>12609.8</v>
      </c>
      <c r="J29">
        <v>8620.9500000000007</v>
      </c>
      <c r="K29">
        <v>1</v>
      </c>
      <c r="M29">
        <v>2688.81</v>
      </c>
      <c r="O29">
        <v>1191</v>
      </c>
    </row>
    <row r="30" spans="1:15" ht="33" customHeight="1" x14ac:dyDescent="0.3">
      <c r="F30" s="6">
        <v>46051</v>
      </c>
      <c r="J30">
        <v>7112</v>
      </c>
      <c r="K30">
        <v>1</v>
      </c>
      <c r="N30">
        <v>1515.81</v>
      </c>
      <c r="O30">
        <v>1191</v>
      </c>
    </row>
    <row r="31" spans="1:15" ht="33" customHeight="1" x14ac:dyDescent="0.3">
      <c r="F31" s="6">
        <v>46052</v>
      </c>
    </row>
    <row r="32" spans="1:15" ht="33" customHeight="1" x14ac:dyDescent="0.3">
      <c r="F32" s="6">
        <v>46053</v>
      </c>
    </row>
    <row r="33" spans="6:14" ht="33" customHeight="1" x14ac:dyDescent="0.3">
      <c r="F33" s="6">
        <v>46054</v>
      </c>
    </row>
    <row r="34" spans="6:14" ht="33" customHeight="1" x14ac:dyDescent="0.3">
      <c r="F34" s="6">
        <v>46055</v>
      </c>
      <c r="M34">
        <v>3901.84</v>
      </c>
    </row>
    <row r="35" spans="6:14" ht="33" customHeight="1" x14ac:dyDescent="0.3">
      <c r="F35" s="6">
        <v>46056</v>
      </c>
    </row>
    <row r="36" spans="6:14" ht="33" customHeight="1" x14ac:dyDescent="0.3">
      <c r="F36" s="6">
        <v>46057</v>
      </c>
    </row>
    <row r="37" spans="6:14" ht="33" customHeight="1" x14ac:dyDescent="0.3">
      <c r="F37" s="6">
        <v>46058</v>
      </c>
      <c r="L37">
        <v>14771.34</v>
      </c>
      <c r="N37">
        <v>1485</v>
      </c>
    </row>
    <row r="38" spans="6:14" ht="33" customHeight="1" x14ac:dyDescent="0.3">
      <c r="F38" s="6">
        <v>46059</v>
      </c>
    </row>
    <row r="39" spans="6:14" ht="33" customHeight="1" x14ac:dyDescent="0.3">
      <c r="F39" s="6">
        <v>46060</v>
      </c>
    </row>
    <row r="40" spans="6:14" ht="33" customHeight="1" x14ac:dyDescent="0.3">
      <c r="F40" s="6">
        <v>46061</v>
      </c>
    </row>
    <row r="41" spans="6:14" ht="33" customHeight="1" x14ac:dyDescent="0.3">
      <c r="F41" s="6">
        <v>46062</v>
      </c>
    </row>
    <row r="42" spans="6:14" ht="33" customHeight="1" x14ac:dyDescent="0.3">
      <c r="F42" s="6">
        <v>46063</v>
      </c>
    </row>
    <row r="43" spans="6:14" ht="33" customHeight="1" x14ac:dyDescent="0.3">
      <c r="F43" s="6">
        <v>46064</v>
      </c>
    </row>
    <row r="44" spans="6:14" ht="33" customHeight="1" x14ac:dyDescent="0.3">
      <c r="F44" s="6">
        <v>46065</v>
      </c>
    </row>
    <row r="45" spans="6:14" ht="33" customHeight="1" x14ac:dyDescent="0.3">
      <c r="F45" s="6">
        <v>46066</v>
      </c>
    </row>
    <row r="46" spans="6:14" ht="33" customHeight="1" x14ac:dyDescent="0.3">
      <c r="F46" s="6">
        <v>46067</v>
      </c>
    </row>
    <row r="47" spans="6:14" ht="33" customHeight="1" x14ac:dyDescent="0.3">
      <c r="F47" s="6">
        <v>46068</v>
      </c>
    </row>
    <row r="48" spans="6:14" ht="33" customHeight="1" x14ac:dyDescent="0.3">
      <c r="F48" s="6">
        <v>46069</v>
      </c>
    </row>
    <row r="49" spans="6:6" ht="33" customHeight="1" x14ac:dyDescent="0.3">
      <c r="F49" s="6">
        <v>46070</v>
      </c>
    </row>
    <row r="50" spans="6:6" ht="33" customHeight="1" x14ac:dyDescent="0.3">
      <c r="F50" s="6">
        <v>46071</v>
      </c>
    </row>
    <row r="51" spans="6:6" ht="33" customHeight="1" x14ac:dyDescent="0.3">
      <c r="F51" s="6">
        <v>46072</v>
      </c>
    </row>
    <row r="52" spans="6:6" ht="33" customHeight="1" x14ac:dyDescent="0.3">
      <c r="F52" s="6">
        <v>46073</v>
      </c>
    </row>
    <row r="53" spans="6:6" ht="33" customHeight="1" x14ac:dyDescent="0.3">
      <c r="F53" s="6">
        <v>46074</v>
      </c>
    </row>
    <row r="54" spans="6:6" ht="33" customHeight="1" x14ac:dyDescent="0.3">
      <c r="F54" s="6">
        <v>46075</v>
      </c>
    </row>
    <row r="55" spans="6:6" ht="33" customHeight="1" x14ac:dyDescent="0.3">
      <c r="F55" s="6">
        <v>46076</v>
      </c>
    </row>
    <row r="56" spans="6:6" ht="33" customHeight="1" x14ac:dyDescent="0.3">
      <c r="F56" s="6">
        <v>46077</v>
      </c>
    </row>
    <row r="57" spans="6:6" ht="33" customHeight="1" x14ac:dyDescent="0.3">
      <c r="F57" s="6">
        <v>46078</v>
      </c>
    </row>
    <row r="58" spans="6:6" ht="33" customHeight="1" x14ac:dyDescent="0.3">
      <c r="F58" s="6">
        <v>46079</v>
      </c>
    </row>
    <row r="59" spans="6:6" ht="33" customHeight="1" x14ac:dyDescent="0.3">
      <c r="F59" s="6">
        <v>46080</v>
      </c>
    </row>
    <row r="60" spans="6:6" ht="33" customHeight="1" x14ac:dyDescent="0.3">
      <c r="F60" s="6">
        <v>46081</v>
      </c>
    </row>
    <row r="61" spans="6:6" ht="33" customHeight="1" x14ac:dyDescent="0.3">
      <c r="F61" s="6">
        <v>46082</v>
      </c>
    </row>
    <row r="62" spans="6:6" ht="33" customHeight="1" x14ac:dyDescent="0.3">
      <c r="F62" s="6">
        <v>46083</v>
      </c>
    </row>
    <row r="63" spans="6:6" ht="33" customHeight="1" x14ac:dyDescent="0.3">
      <c r="F63" s="6">
        <v>46084</v>
      </c>
    </row>
    <row r="64" spans="6:6" ht="33" customHeight="1" x14ac:dyDescent="0.3">
      <c r="F64" s="6">
        <v>46085</v>
      </c>
    </row>
    <row r="65" spans="6:6" ht="33" customHeight="1" x14ac:dyDescent="0.3">
      <c r="F65" s="6">
        <v>46086</v>
      </c>
    </row>
    <row r="66" spans="6:6" ht="33" customHeight="1" x14ac:dyDescent="0.3">
      <c r="F66" s="6">
        <v>46087</v>
      </c>
    </row>
    <row r="67" spans="6:6" ht="33" customHeight="1" x14ac:dyDescent="0.3">
      <c r="F67" s="6">
        <v>46088</v>
      </c>
    </row>
    <row r="68" spans="6:6" ht="33" customHeight="1" x14ac:dyDescent="0.3">
      <c r="F68" s="6">
        <v>46089</v>
      </c>
    </row>
    <row r="69" spans="6:6" ht="33" customHeight="1" x14ac:dyDescent="0.3">
      <c r="F69" s="6">
        <v>46090</v>
      </c>
    </row>
    <row r="70" spans="6:6" ht="33" customHeight="1" x14ac:dyDescent="0.3">
      <c r="F70" s="6">
        <v>46091</v>
      </c>
    </row>
    <row r="71" spans="6:6" ht="33" customHeight="1" x14ac:dyDescent="0.3">
      <c r="F71" s="6">
        <v>46092</v>
      </c>
    </row>
    <row r="72" spans="6:6" ht="33" customHeight="1" x14ac:dyDescent="0.3">
      <c r="F72" s="6">
        <v>46093</v>
      </c>
    </row>
    <row r="73" spans="6:6" ht="33" customHeight="1" x14ac:dyDescent="0.3">
      <c r="F73" s="6">
        <v>46094</v>
      </c>
    </row>
    <row r="74" spans="6:6" ht="33" customHeight="1" x14ac:dyDescent="0.3">
      <c r="F74" s="6">
        <v>46095</v>
      </c>
    </row>
    <row r="75" spans="6:6" ht="33" customHeight="1" x14ac:dyDescent="0.3">
      <c r="F75" s="6">
        <v>46096</v>
      </c>
    </row>
    <row r="76" spans="6:6" ht="33" customHeight="1" x14ac:dyDescent="0.3">
      <c r="F76" s="6">
        <v>46097</v>
      </c>
    </row>
    <row r="77" spans="6:6" ht="33" customHeight="1" x14ac:dyDescent="0.3">
      <c r="F77" s="6">
        <v>46098</v>
      </c>
    </row>
    <row r="78" spans="6:6" ht="33" customHeight="1" x14ac:dyDescent="0.3">
      <c r="F78" s="6">
        <v>46099</v>
      </c>
    </row>
    <row r="79" spans="6:6" ht="33" customHeight="1" x14ac:dyDescent="0.3">
      <c r="F79" s="6">
        <v>46100</v>
      </c>
    </row>
    <row r="80" spans="6:6" ht="33" customHeight="1" x14ac:dyDescent="0.3">
      <c r="F80" s="6">
        <v>46101</v>
      </c>
    </row>
    <row r="81" spans="6:6" ht="33" customHeight="1" x14ac:dyDescent="0.3">
      <c r="F81" s="6">
        <v>46102</v>
      </c>
    </row>
    <row r="82" spans="6:6" ht="33" customHeight="1" x14ac:dyDescent="0.3">
      <c r="F82" s="6">
        <v>46103</v>
      </c>
    </row>
    <row r="83" spans="6:6" ht="33" customHeight="1" x14ac:dyDescent="0.3">
      <c r="F83" s="6">
        <v>46104</v>
      </c>
    </row>
    <row r="84" spans="6:6" ht="33" customHeight="1" x14ac:dyDescent="0.3">
      <c r="F84" s="6">
        <v>46105</v>
      </c>
    </row>
    <row r="85" spans="6:6" ht="33" customHeight="1" x14ac:dyDescent="0.3">
      <c r="F85" s="6">
        <v>46106</v>
      </c>
    </row>
    <row r="86" spans="6:6" ht="33" customHeight="1" x14ac:dyDescent="0.3">
      <c r="F86" s="6">
        <v>46107</v>
      </c>
    </row>
    <row r="87" spans="6:6" ht="33" customHeight="1" x14ac:dyDescent="0.3">
      <c r="F87" s="6">
        <v>46108</v>
      </c>
    </row>
    <row r="88" spans="6:6" ht="33" customHeight="1" x14ac:dyDescent="0.3">
      <c r="F88" s="6">
        <v>46109</v>
      </c>
    </row>
    <row r="89" spans="6:6" ht="33" customHeight="1" x14ac:dyDescent="0.3">
      <c r="F89" s="6">
        <v>46110</v>
      </c>
    </row>
    <row r="90" spans="6:6" ht="33" customHeight="1" x14ac:dyDescent="0.3">
      <c r="F90" s="6">
        <v>46111</v>
      </c>
    </row>
    <row r="91" spans="6:6" ht="33" customHeight="1" x14ac:dyDescent="0.3">
      <c r="F91" s="6">
        <v>46112</v>
      </c>
    </row>
    <row r="92" spans="6:6" ht="33" customHeight="1" x14ac:dyDescent="0.3">
      <c r="F92" s="6">
        <v>46113</v>
      </c>
    </row>
    <row r="93" spans="6:6" ht="33" customHeight="1" x14ac:dyDescent="0.3">
      <c r="F93" s="6">
        <v>46114</v>
      </c>
    </row>
    <row r="94" spans="6:6" ht="33" customHeight="1" x14ac:dyDescent="0.3">
      <c r="F94" s="6">
        <v>46115</v>
      </c>
    </row>
    <row r="95" spans="6:6" ht="33" customHeight="1" x14ac:dyDescent="0.3">
      <c r="F95" s="6">
        <v>46116</v>
      </c>
    </row>
    <row r="96" spans="6:6" ht="33" customHeight="1" x14ac:dyDescent="0.3">
      <c r="F96" s="6">
        <v>46117</v>
      </c>
    </row>
    <row r="97" spans="6:6" ht="33" customHeight="1" x14ac:dyDescent="0.3">
      <c r="F97" s="6">
        <v>46118</v>
      </c>
    </row>
    <row r="98" spans="6:6" ht="33" customHeight="1" x14ac:dyDescent="0.3">
      <c r="F98" s="6">
        <v>46119</v>
      </c>
    </row>
    <row r="99" spans="6:6" ht="33" customHeight="1" x14ac:dyDescent="0.3">
      <c r="F99" s="6">
        <v>46120</v>
      </c>
    </row>
    <row r="100" spans="6:6" ht="33" customHeight="1" x14ac:dyDescent="0.3">
      <c r="F100" s="6">
        <v>46121</v>
      </c>
    </row>
    <row r="101" spans="6:6" ht="33" customHeight="1" x14ac:dyDescent="0.3">
      <c r="F101" s="6">
        <v>46122</v>
      </c>
    </row>
    <row r="102" spans="6:6" ht="33" customHeight="1" x14ac:dyDescent="0.3">
      <c r="F102" s="6">
        <v>46123</v>
      </c>
    </row>
    <row r="103" spans="6:6" ht="33" customHeight="1" x14ac:dyDescent="0.3">
      <c r="F103" s="6">
        <v>46124</v>
      </c>
    </row>
    <row r="104" spans="6:6" ht="33" customHeight="1" x14ac:dyDescent="0.3">
      <c r="F104" s="6">
        <v>46125</v>
      </c>
    </row>
    <row r="105" spans="6:6" ht="33" customHeight="1" x14ac:dyDescent="0.3">
      <c r="F105" s="6">
        <v>46126</v>
      </c>
    </row>
    <row r="106" spans="6:6" ht="33" customHeight="1" x14ac:dyDescent="0.3">
      <c r="F106" s="6">
        <v>46127</v>
      </c>
    </row>
    <row r="107" spans="6:6" ht="33" customHeight="1" x14ac:dyDescent="0.3">
      <c r="F107" s="6">
        <v>46128</v>
      </c>
    </row>
    <row r="108" spans="6:6" ht="33" customHeight="1" x14ac:dyDescent="0.3">
      <c r="F108" s="6">
        <v>46129</v>
      </c>
    </row>
    <row r="109" spans="6:6" ht="33" customHeight="1" x14ac:dyDescent="0.3">
      <c r="F109" s="6">
        <v>46130</v>
      </c>
    </row>
    <row r="110" spans="6:6" ht="33" customHeight="1" x14ac:dyDescent="0.3">
      <c r="F110" s="6">
        <v>46131</v>
      </c>
    </row>
    <row r="111" spans="6:6" ht="33" customHeight="1" x14ac:dyDescent="0.3">
      <c r="F111" s="6">
        <v>46132</v>
      </c>
    </row>
    <row r="112" spans="6:6" ht="33" customHeight="1" x14ac:dyDescent="0.3">
      <c r="F112" s="6">
        <v>46133</v>
      </c>
    </row>
    <row r="113" spans="6:6" ht="33" customHeight="1" x14ac:dyDescent="0.3">
      <c r="F113" s="6">
        <v>46134</v>
      </c>
    </row>
    <row r="114" spans="6:6" ht="33" customHeight="1" x14ac:dyDescent="0.3">
      <c r="F114" s="6">
        <v>46135</v>
      </c>
    </row>
    <row r="115" spans="6:6" ht="33" customHeight="1" x14ac:dyDescent="0.3">
      <c r="F115" s="6">
        <v>46136</v>
      </c>
    </row>
    <row r="116" spans="6:6" ht="33" customHeight="1" x14ac:dyDescent="0.3">
      <c r="F116" s="6">
        <v>46137</v>
      </c>
    </row>
    <row r="117" spans="6:6" ht="33" customHeight="1" x14ac:dyDescent="0.3">
      <c r="F117" s="6">
        <v>46138</v>
      </c>
    </row>
    <row r="118" spans="6:6" ht="33" customHeight="1" x14ac:dyDescent="0.3">
      <c r="F118" s="6">
        <v>46139</v>
      </c>
    </row>
    <row r="119" spans="6:6" ht="33" customHeight="1" x14ac:dyDescent="0.3">
      <c r="F119" s="6">
        <v>46140</v>
      </c>
    </row>
    <row r="120" spans="6:6" ht="33" customHeight="1" x14ac:dyDescent="0.3">
      <c r="F120" s="6">
        <v>46141</v>
      </c>
    </row>
    <row r="121" spans="6:6" ht="33" customHeight="1" x14ac:dyDescent="0.3">
      <c r="F121" s="6">
        <v>46142</v>
      </c>
    </row>
    <row r="122" spans="6:6" ht="33" customHeight="1" x14ac:dyDescent="0.3">
      <c r="F122" s="6">
        <v>46143</v>
      </c>
    </row>
    <row r="123" spans="6:6" ht="33" customHeight="1" x14ac:dyDescent="0.3">
      <c r="F123" s="6">
        <v>46144</v>
      </c>
    </row>
    <row r="124" spans="6:6" ht="33" customHeight="1" x14ac:dyDescent="0.3">
      <c r="F124" s="6">
        <v>46145</v>
      </c>
    </row>
    <row r="125" spans="6:6" ht="33" customHeight="1" x14ac:dyDescent="0.3">
      <c r="F125" s="6">
        <v>46146</v>
      </c>
    </row>
    <row r="126" spans="6:6" ht="33" customHeight="1" x14ac:dyDescent="0.3">
      <c r="F126" s="6">
        <v>46147</v>
      </c>
    </row>
    <row r="127" spans="6:6" ht="33" customHeight="1" x14ac:dyDescent="0.3">
      <c r="F127" s="6">
        <v>46148</v>
      </c>
    </row>
    <row r="128" spans="6:6" ht="33" customHeight="1" x14ac:dyDescent="0.3">
      <c r="F128" s="6">
        <v>46149</v>
      </c>
    </row>
    <row r="129" spans="6:6" ht="33" customHeight="1" x14ac:dyDescent="0.3">
      <c r="F129" s="6">
        <v>46150</v>
      </c>
    </row>
    <row r="130" spans="6:6" ht="33" customHeight="1" x14ac:dyDescent="0.3">
      <c r="F130" s="6">
        <v>46151</v>
      </c>
    </row>
    <row r="131" spans="6:6" ht="33" customHeight="1" x14ac:dyDescent="0.3">
      <c r="F131" s="6">
        <v>46152</v>
      </c>
    </row>
    <row r="132" spans="6:6" ht="33" customHeight="1" x14ac:dyDescent="0.3">
      <c r="F132" s="6">
        <v>46153</v>
      </c>
    </row>
    <row r="133" spans="6:6" ht="33" customHeight="1" x14ac:dyDescent="0.3">
      <c r="F133" s="6">
        <v>46154</v>
      </c>
    </row>
    <row r="134" spans="6:6" ht="33" customHeight="1" x14ac:dyDescent="0.3">
      <c r="F134" s="6">
        <v>46155</v>
      </c>
    </row>
    <row r="135" spans="6:6" ht="33" customHeight="1" x14ac:dyDescent="0.3">
      <c r="F135" s="6">
        <v>46156</v>
      </c>
    </row>
    <row r="136" spans="6:6" ht="33" customHeight="1" x14ac:dyDescent="0.3">
      <c r="F136" s="6">
        <v>46157</v>
      </c>
    </row>
    <row r="137" spans="6:6" ht="33" customHeight="1" x14ac:dyDescent="0.3">
      <c r="F137" s="6">
        <v>46158</v>
      </c>
    </row>
    <row r="138" spans="6:6" ht="33" customHeight="1" x14ac:dyDescent="0.3">
      <c r="F138" s="6">
        <v>46159</v>
      </c>
    </row>
    <row r="139" spans="6:6" ht="33" customHeight="1" x14ac:dyDescent="0.3">
      <c r="F139" s="6">
        <v>46160</v>
      </c>
    </row>
    <row r="140" spans="6:6" ht="33" customHeight="1" x14ac:dyDescent="0.3">
      <c r="F140" s="6">
        <v>46161</v>
      </c>
    </row>
    <row r="141" spans="6:6" ht="33" customHeight="1" x14ac:dyDescent="0.3">
      <c r="F141" s="6">
        <v>46162</v>
      </c>
    </row>
    <row r="142" spans="6:6" ht="33" customHeight="1" x14ac:dyDescent="0.3">
      <c r="F142" s="6">
        <v>46163</v>
      </c>
    </row>
    <row r="143" spans="6:6" ht="33" customHeight="1" x14ac:dyDescent="0.3">
      <c r="F143" s="6">
        <v>46164</v>
      </c>
    </row>
    <row r="144" spans="6:6" ht="33" customHeight="1" x14ac:dyDescent="0.3">
      <c r="F144" s="6">
        <v>46165</v>
      </c>
    </row>
    <row r="145" spans="6:6" ht="33" customHeight="1" x14ac:dyDescent="0.3">
      <c r="F145" s="6">
        <v>46166</v>
      </c>
    </row>
    <row r="146" spans="6:6" ht="33" customHeight="1" x14ac:dyDescent="0.3">
      <c r="F146" s="6">
        <v>46167</v>
      </c>
    </row>
    <row r="147" spans="6:6" ht="33" customHeight="1" x14ac:dyDescent="0.3">
      <c r="F147" s="6">
        <v>46168</v>
      </c>
    </row>
    <row r="148" spans="6:6" ht="33" customHeight="1" x14ac:dyDescent="0.3">
      <c r="F148" s="6">
        <v>46169</v>
      </c>
    </row>
    <row r="149" spans="6:6" ht="33" customHeight="1" x14ac:dyDescent="0.3">
      <c r="F149" s="6">
        <v>46170</v>
      </c>
    </row>
    <row r="150" spans="6:6" ht="33" customHeight="1" x14ac:dyDescent="0.3">
      <c r="F150" s="6">
        <v>46171</v>
      </c>
    </row>
    <row r="151" spans="6:6" ht="33" customHeight="1" x14ac:dyDescent="0.3">
      <c r="F151" s="6">
        <v>46172</v>
      </c>
    </row>
    <row r="152" spans="6:6" ht="33" customHeight="1" x14ac:dyDescent="0.3">
      <c r="F152" s="6">
        <v>46173</v>
      </c>
    </row>
    <row r="153" spans="6:6" ht="33" customHeight="1" x14ac:dyDescent="0.3">
      <c r="F153" s="6">
        <v>46174</v>
      </c>
    </row>
    <row r="154" spans="6:6" ht="33" customHeight="1" x14ac:dyDescent="0.3">
      <c r="F154" s="6">
        <v>46175</v>
      </c>
    </row>
    <row r="155" spans="6:6" ht="33" customHeight="1" x14ac:dyDescent="0.3">
      <c r="F155" s="6">
        <v>46176</v>
      </c>
    </row>
    <row r="156" spans="6:6" ht="33" customHeight="1" x14ac:dyDescent="0.3">
      <c r="F156" s="6">
        <v>46177</v>
      </c>
    </row>
    <row r="157" spans="6:6" ht="33" customHeight="1" x14ac:dyDescent="0.3">
      <c r="F157" s="6">
        <v>46178</v>
      </c>
    </row>
    <row r="158" spans="6:6" ht="33" customHeight="1" x14ac:dyDescent="0.3">
      <c r="F158" s="6">
        <v>46179</v>
      </c>
    </row>
    <row r="159" spans="6:6" ht="33" customHeight="1" x14ac:dyDescent="0.3">
      <c r="F159" s="6">
        <v>46180</v>
      </c>
    </row>
    <row r="160" spans="6:6" ht="33" customHeight="1" x14ac:dyDescent="0.3">
      <c r="F160" s="6">
        <v>46181</v>
      </c>
    </row>
    <row r="161" spans="6:6" ht="33" customHeight="1" x14ac:dyDescent="0.3">
      <c r="F161" s="6">
        <v>46182</v>
      </c>
    </row>
    <row r="162" spans="6:6" ht="33" customHeight="1" x14ac:dyDescent="0.3">
      <c r="F162" s="6">
        <v>46183</v>
      </c>
    </row>
    <row r="163" spans="6:6" ht="33" customHeight="1" x14ac:dyDescent="0.3">
      <c r="F163" s="6">
        <v>46184</v>
      </c>
    </row>
    <row r="164" spans="6:6" ht="33" customHeight="1" x14ac:dyDescent="0.3">
      <c r="F164" s="6">
        <v>46185</v>
      </c>
    </row>
    <row r="165" spans="6:6" ht="33" customHeight="1" x14ac:dyDescent="0.3">
      <c r="F165" s="6">
        <v>46186</v>
      </c>
    </row>
    <row r="166" spans="6:6" ht="33" customHeight="1" x14ac:dyDescent="0.3">
      <c r="F166" s="6">
        <v>46187</v>
      </c>
    </row>
    <row r="167" spans="6:6" ht="33" customHeight="1" x14ac:dyDescent="0.3">
      <c r="F167" s="6">
        <v>46188</v>
      </c>
    </row>
    <row r="168" spans="6:6" ht="33" customHeight="1" x14ac:dyDescent="0.3">
      <c r="F168" s="6">
        <v>46189</v>
      </c>
    </row>
    <row r="169" spans="6:6" ht="33" customHeight="1" x14ac:dyDescent="0.3">
      <c r="F169" s="6">
        <v>46190</v>
      </c>
    </row>
    <row r="170" spans="6:6" ht="33" customHeight="1" x14ac:dyDescent="0.3">
      <c r="F170" s="6">
        <v>46191</v>
      </c>
    </row>
    <row r="171" spans="6:6" ht="33" customHeight="1" x14ac:dyDescent="0.3">
      <c r="F171" s="6">
        <v>46192</v>
      </c>
    </row>
    <row r="172" spans="6:6" ht="33" customHeight="1" x14ac:dyDescent="0.3">
      <c r="F172" s="6">
        <v>46193</v>
      </c>
    </row>
    <row r="173" spans="6:6" ht="33" customHeight="1" x14ac:dyDescent="0.3">
      <c r="F173" s="6">
        <v>46194</v>
      </c>
    </row>
    <row r="174" spans="6:6" ht="33" customHeight="1" x14ac:dyDescent="0.3">
      <c r="F174" s="6">
        <v>46195</v>
      </c>
    </row>
    <row r="175" spans="6:6" ht="33" customHeight="1" x14ac:dyDescent="0.3">
      <c r="F175" s="6">
        <v>46196</v>
      </c>
    </row>
    <row r="176" spans="6:6" ht="33" customHeight="1" x14ac:dyDescent="0.3">
      <c r="F176" s="6">
        <v>46197</v>
      </c>
    </row>
    <row r="177" spans="6:6" ht="33" customHeight="1" x14ac:dyDescent="0.3">
      <c r="F177" s="6">
        <v>46198</v>
      </c>
    </row>
    <row r="178" spans="6:6" ht="33" customHeight="1" x14ac:dyDescent="0.3">
      <c r="F178" s="6">
        <v>46199</v>
      </c>
    </row>
    <row r="179" spans="6:6" ht="33" customHeight="1" x14ac:dyDescent="0.3">
      <c r="F179" s="6">
        <v>46200</v>
      </c>
    </row>
    <row r="180" spans="6:6" ht="33" customHeight="1" x14ac:dyDescent="0.3">
      <c r="F180" s="6">
        <v>46201</v>
      </c>
    </row>
    <row r="181" spans="6:6" ht="33" customHeight="1" x14ac:dyDescent="0.3">
      <c r="F181" s="6">
        <v>46202</v>
      </c>
    </row>
    <row r="182" spans="6:6" ht="33" customHeight="1" x14ac:dyDescent="0.3">
      <c r="F182" s="6">
        <v>46203</v>
      </c>
    </row>
    <row r="183" spans="6:6" ht="33" customHeight="1" x14ac:dyDescent="0.3">
      <c r="F183" s="6">
        <v>46204</v>
      </c>
    </row>
    <row r="184" spans="6:6" ht="33" customHeight="1" x14ac:dyDescent="0.3">
      <c r="F184" s="6">
        <v>46205</v>
      </c>
    </row>
    <row r="185" spans="6:6" ht="33" customHeight="1" x14ac:dyDescent="0.3">
      <c r="F185" s="6">
        <v>46206</v>
      </c>
    </row>
    <row r="186" spans="6:6" ht="33" customHeight="1" x14ac:dyDescent="0.3">
      <c r="F186" s="6">
        <v>46207</v>
      </c>
    </row>
    <row r="187" spans="6:6" ht="33" customHeight="1" x14ac:dyDescent="0.3">
      <c r="F187" s="6">
        <v>46208</v>
      </c>
    </row>
    <row r="188" spans="6:6" ht="33" customHeight="1" x14ac:dyDescent="0.3">
      <c r="F188" s="6">
        <v>46209</v>
      </c>
    </row>
    <row r="189" spans="6:6" ht="33" customHeight="1" x14ac:dyDescent="0.3">
      <c r="F189" s="6">
        <v>46210</v>
      </c>
    </row>
    <row r="190" spans="6:6" ht="33" customHeight="1" x14ac:dyDescent="0.3">
      <c r="F190" s="6">
        <v>46211</v>
      </c>
    </row>
    <row r="191" spans="6:6" ht="33" customHeight="1" x14ac:dyDescent="0.3">
      <c r="F191" s="6">
        <v>46212</v>
      </c>
    </row>
    <row r="192" spans="6:6" ht="33" customHeight="1" x14ac:dyDescent="0.3">
      <c r="F192" s="6">
        <v>46213</v>
      </c>
    </row>
    <row r="193" spans="6:6" ht="33" customHeight="1" x14ac:dyDescent="0.3">
      <c r="F193" s="6">
        <v>46214</v>
      </c>
    </row>
    <row r="194" spans="6:6" ht="33" customHeight="1" x14ac:dyDescent="0.3">
      <c r="F194" s="6">
        <v>46215</v>
      </c>
    </row>
    <row r="195" spans="6:6" ht="33" customHeight="1" x14ac:dyDescent="0.3">
      <c r="F195" s="6">
        <v>46216</v>
      </c>
    </row>
    <row r="196" spans="6:6" ht="33" customHeight="1" x14ac:dyDescent="0.3">
      <c r="F196" s="6">
        <v>46217</v>
      </c>
    </row>
    <row r="197" spans="6:6" ht="33" customHeight="1" x14ac:dyDescent="0.3">
      <c r="F197" s="6">
        <v>46218</v>
      </c>
    </row>
    <row r="198" spans="6:6" ht="33" customHeight="1" x14ac:dyDescent="0.3">
      <c r="F198" s="6">
        <v>46219</v>
      </c>
    </row>
    <row r="199" spans="6:6" ht="33" customHeight="1" x14ac:dyDescent="0.3">
      <c r="F199" s="6">
        <v>46220</v>
      </c>
    </row>
    <row r="200" spans="6:6" ht="33" customHeight="1" x14ac:dyDescent="0.3">
      <c r="F200" s="6">
        <v>46221</v>
      </c>
    </row>
    <row r="201" spans="6:6" ht="33" customHeight="1" x14ac:dyDescent="0.3">
      <c r="F201" s="6">
        <v>46222</v>
      </c>
    </row>
    <row r="202" spans="6:6" ht="33" customHeight="1" x14ac:dyDescent="0.3">
      <c r="F202" s="6">
        <v>46223</v>
      </c>
    </row>
    <row r="203" spans="6:6" ht="33" customHeight="1" x14ac:dyDescent="0.3">
      <c r="F203" s="6">
        <v>46224</v>
      </c>
    </row>
    <row r="204" spans="6:6" ht="33" customHeight="1" x14ac:dyDescent="0.3">
      <c r="F204" s="6">
        <v>46225</v>
      </c>
    </row>
    <row r="205" spans="6:6" ht="33" customHeight="1" x14ac:dyDescent="0.3">
      <c r="F205" s="6">
        <v>46226</v>
      </c>
    </row>
    <row r="206" spans="6:6" ht="33" customHeight="1" x14ac:dyDescent="0.3">
      <c r="F206" s="6">
        <v>46227</v>
      </c>
    </row>
    <row r="207" spans="6:6" ht="33" customHeight="1" x14ac:dyDescent="0.3">
      <c r="F207" s="6">
        <v>46228</v>
      </c>
    </row>
    <row r="208" spans="6:6" ht="33" customHeight="1" x14ac:dyDescent="0.3">
      <c r="F208" s="6">
        <v>46229</v>
      </c>
    </row>
    <row r="209" spans="6:6" ht="33" customHeight="1" x14ac:dyDescent="0.3">
      <c r="F209" s="6">
        <v>46230</v>
      </c>
    </row>
    <row r="210" spans="6:6" ht="33" customHeight="1" x14ac:dyDescent="0.3">
      <c r="F210" s="6">
        <v>46231</v>
      </c>
    </row>
    <row r="211" spans="6:6" ht="33" customHeight="1" x14ac:dyDescent="0.3">
      <c r="F211" s="6">
        <v>46232</v>
      </c>
    </row>
    <row r="212" spans="6:6" ht="33" customHeight="1" x14ac:dyDescent="0.3">
      <c r="F212" s="6">
        <v>46233</v>
      </c>
    </row>
    <row r="213" spans="6:6" ht="33" customHeight="1" x14ac:dyDescent="0.3">
      <c r="F213" s="6">
        <v>46234</v>
      </c>
    </row>
    <row r="214" spans="6:6" ht="33" customHeight="1" x14ac:dyDescent="0.3">
      <c r="F214" s="6">
        <v>46235</v>
      </c>
    </row>
    <row r="215" spans="6:6" ht="33" customHeight="1" x14ac:dyDescent="0.3">
      <c r="F215" s="6">
        <v>46236</v>
      </c>
    </row>
    <row r="216" spans="6:6" ht="33" customHeight="1" x14ac:dyDescent="0.3">
      <c r="F216" s="6">
        <v>46237</v>
      </c>
    </row>
    <row r="217" spans="6:6" ht="33" customHeight="1" x14ac:dyDescent="0.3">
      <c r="F217" s="6">
        <v>46238</v>
      </c>
    </row>
    <row r="218" spans="6:6" ht="33" customHeight="1" x14ac:dyDescent="0.3">
      <c r="F218" s="6">
        <v>46239</v>
      </c>
    </row>
    <row r="219" spans="6:6" ht="33" customHeight="1" x14ac:dyDescent="0.3">
      <c r="F219" s="6">
        <v>46240</v>
      </c>
    </row>
    <row r="220" spans="6:6" ht="33" customHeight="1" x14ac:dyDescent="0.3">
      <c r="F220" s="6">
        <v>46241</v>
      </c>
    </row>
    <row r="221" spans="6:6" ht="33" customHeight="1" x14ac:dyDescent="0.3">
      <c r="F221" s="6">
        <v>46242</v>
      </c>
    </row>
    <row r="222" spans="6:6" ht="33" customHeight="1" x14ac:dyDescent="0.3">
      <c r="F222" s="6">
        <v>46243</v>
      </c>
    </row>
    <row r="223" spans="6:6" ht="33" customHeight="1" x14ac:dyDescent="0.3">
      <c r="F223" s="6">
        <v>46244</v>
      </c>
    </row>
    <row r="224" spans="6:6" ht="33" customHeight="1" x14ac:dyDescent="0.3">
      <c r="F224" s="6">
        <v>46245</v>
      </c>
    </row>
    <row r="225" spans="6:6" ht="33" customHeight="1" x14ac:dyDescent="0.3">
      <c r="F225" s="6">
        <v>46246</v>
      </c>
    </row>
    <row r="226" spans="6:6" ht="33" customHeight="1" x14ac:dyDescent="0.3">
      <c r="F226" s="6">
        <v>46247</v>
      </c>
    </row>
    <row r="227" spans="6:6" ht="33" customHeight="1" x14ac:dyDescent="0.3">
      <c r="F227" s="6">
        <v>46248</v>
      </c>
    </row>
    <row r="228" spans="6:6" ht="33" customHeight="1" x14ac:dyDescent="0.3">
      <c r="F228" s="6">
        <v>46249</v>
      </c>
    </row>
    <row r="229" spans="6:6" ht="33" customHeight="1" x14ac:dyDescent="0.3">
      <c r="F229" s="6">
        <v>46250</v>
      </c>
    </row>
    <row r="230" spans="6:6" ht="33" customHeight="1" x14ac:dyDescent="0.3">
      <c r="F230" s="6">
        <v>46251</v>
      </c>
    </row>
    <row r="231" spans="6:6" ht="33" customHeight="1" x14ac:dyDescent="0.3">
      <c r="F231" s="6">
        <v>46252</v>
      </c>
    </row>
    <row r="232" spans="6:6" ht="33" customHeight="1" x14ac:dyDescent="0.3">
      <c r="F232" s="6">
        <v>46253</v>
      </c>
    </row>
    <row r="233" spans="6:6" ht="33" customHeight="1" x14ac:dyDescent="0.3">
      <c r="F233" s="6">
        <v>46254</v>
      </c>
    </row>
    <row r="234" spans="6:6" ht="33" customHeight="1" x14ac:dyDescent="0.3">
      <c r="F234" s="6">
        <v>46255</v>
      </c>
    </row>
    <row r="235" spans="6:6" ht="33" customHeight="1" x14ac:dyDescent="0.3">
      <c r="F235" s="6">
        <v>46256</v>
      </c>
    </row>
    <row r="236" spans="6:6" ht="33" customHeight="1" x14ac:dyDescent="0.3">
      <c r="F236" s="6">
        <v>46257</v>
      </c>
    </row>
    <row r="237" spans="6:6" ht="33" customHeight="1" x14ac:dyDescent="0.3">
      <c r="F237" s="6">
        <v>46258</v>
      </c>
    </row>
    <row r="238" spans="6:6" ht="33" customHeight="1" x14ac:dyDescent="0.3">
      <c r="F238" s="6">
        <v>46259</v>
      </c>
    </row>
    <row r="239" spans="6:6" ht="33" customHeight="1" x14ac:dyDescent="0.3">
      <c r="F239" s="6">
        <v>46260</v>
      </c>
    </row>
    <row r="240" spans="6:6" ht="33" customHeight="1" x14ac:dyDescent="0.3">
      <c r="F240" s="6">
        <v>46261</v>
      </c>
    </row>
    <row r="241" spans="6:6" ht="33" customHeight="1" x14ac:dyDescent="0.3">
      <c r="F241" s="6">
        <v>46262</v>
      </c>
    </row>
    <row r="242" spans="6:6" ht="33" customHeight="1" x14ac:dyDescent="0.3">
      <c r="F242" s="6">
        <v>46263</v>
      </c>
    </row>
    <row r="243" spans="6:6" ht="33" customHeight="1" x14ac:dyDescent="0.3">
      <c r="F243" s="6">
        <v>46264</v>
      </c>
    </row>
    <row r="244" spans="6:6" ht="33" customHeight="1" x14ac:dyDescent="0.3">
      <c r="F244" s="6">
        <v>46265</v>
      </c>
    </row>
    <row r="245" spans="6:6" ht="33" customHeight="1" x14ac:dyDescent="0.3">
      <c r="F245" s="6">
        <v>46266</v>
      </c>
    </row>
    <row r="246" spans="6:6" ht="33" customHeight="1" x14ac:dyDescent="0.3">
      <c r="F246" s="6">
        <v>46267</v>
      </c>
    </row>
    <row r="247" spans="6:6" ht="33" customHeight="1" x14ac:dyDescent="0.3">
      <c r="F247" s="6">
        <v>46268</v>
      </c>
    </row>
    <row r="248" spans="6:6" ht="33" customHeight="1" x14ac:dyDescent="0.3">
      <c r="F248" s="6">
        <v>46269</v>
      </c>
    </row>
    <row r="249" spans="6:6" ht="33" customHeight="1" x14ac:dyDescent="0.3">
      <c r="F249" s="6">
        <v>46270</v>
      </c>
    </row>
    <row r="250" spans="6:6" ht="33" customHeight="1" x14ac:dyDescent="0.3">
      <c r="F250" s="6">
        <v>46271</v>
      </c>
    </row>
    <row r="251" spans="6:6" ht="33" customHeight="1" x14ac:dyDescent="0.3">
      <c r="F251" s="6">
        <v>46272</v>
      </c>
    </row>
    <row r="252" spans="6:6" ht="33" customHeight="1" x14ac:dyDescent="0.3">
      <c r="F252" s="6">
        <v>46273</v>
      </c>
    </row>
    <row r="253" spans="6:6" ht="33" customHeight="1" x14ac:dyDescent="0.3">
      <c r="F253" s="6">
        <v>46274</v>
      </c>
    </row>
    <row r="254" spans="6:6" ht="33" customHeight="1" x14ac:dyDescent="0.3">
      <c r="F254" s="6">
        <v>46275</v>
      </c>
    </row>
    <row r="255" spans="6:6" ht="33" customHeight="1" x14ac:dyDescent="0.3">
      <c r="F255" s="6">
        <v>46276</v>
      </c>
    </row>
    <row r="256" spans="6:6" ht="33" customHeight="1" x14ac:dyDescent="0.3">
      <c r="F256" s="6">
        <v>46277</v>
      </c>
    </row>
    <row r="257" spans="6:6" ht="33" customHeight="1" x14ac:dyDescent="0.3">
      <c r="F257" s="6">
        <v>46278</v>
      </c>
    </row>
    <row r="258" spans="6:6" ht="33" customHeight="1" x14ac:dyDescent="0.3">
      <c r="F258" s="6">
        <v>46279</v>
      </c>
    </row>
    <row r="259" spans="6:6" ht="33" customHeight="1" x14ac:dyDescent="0.3">
      <c r="F259" s="6">
        <v>46280</v>
      </c>
    </row>
    <row r="260" spans="6:6" ht="33" customHeight="1" x14ac:dyDescent="0.3">
      <c r="F260" s="6">
        <v>46281</v>
      </c>
    </row>
    <row r="261" spans="6:6" ht="33" customHeight="1" x14ac:dyDescent="0.3">
      <c r="F261" s="6">
        <v>46282</v>
      </c>
    </row>
    <row r="262" spans="6:6" ht="33" customHeight="1" x14ac:dyDescent="0.3">
      <c r="F262" s="6">
        <v>46283</v>
      </c>
    </row>
    <row r="263" spans="6:6" ht="33" customHeight="1" x14ac:dyDescent="0.3">
      <c r="F263" s="6">
        <v>46284</v>
      </c>
    </row>
    <row r="264" spans="6:6" ht="33" customHeight="1" x14ac:dyDescent="0.3">
      <c r="F264" s="6">
        <v>46285</v>
      </c>
    </row>
    <row r="265" spans="6:6" ht="33" customHeight="1" x14ac:dyDescent="0.3">
      <c r="F265" s="6">
        <v>46286</v>
      </c>
    </row>
    <row r="266" spans="6:6" ht="33" customHeight="1" x14ac:dyDescent="0.3">
      <c r="F266" s="6">
        <v>46287</v>
      </c>
    </row>
    <row r="267" spans="6:6" ht="33" customHeight="1" x14ac:dyDescent="0.3">
      <c r="F267" s="6">
        <v>46288</v>
      </c>
    </row>
    <row r="268" spans="6:6" ht="33" customHeight="1" x14ac:dyDescent="0.3">
      <c r="F268" s="6">
        <v>46289</v>
      </c>
    </row>
    <row r="269" spans="6:6" ht="33" customHeight="1" x14ac:dyDescent="0.3">
      <c r="F269" s="6">
        <v>46290</v>
      </c>
    </row>
    <row r="270" spans="6:6" ht="33" customHeight="1" x14ac:dyDescent="0.3">
      <c r="F270" s="6">
        <v>46291</v>
      </c>
    </row>
    <row r="271" spans="6:6" ht="33" customHeight="1" x14ac:dyDescent="0.3">
      <c r="F271" s="6">
        <v>46292</v>
      </c>
    </row>
    <row r="272" spans="6:6" ht="33" customHeight="1" x14ac:dyDescent="0.3">
      <c r="F272" s="6">
        <v>46293</v>
      </c>
    </row>
    <row r="273" spans="6:6" ht="33" customHeight="1" x14ac:dyDescent="0.3">
      <c r="F273" s="6">
        <v>46294</v>
      </c>
    </row>
    <row r="274" spans="6:6" ht="33" customHeight="1" x14ac:dyDescent="0.3">
      <c r="F274" s="6">
        <v>46295</v>
      </c>
    </row>
    <row r="275" spans="6:6" ht="33" customHeight="1" x14ac:dyDescent="0.3">
      <c r="F275" s="6">
        <v>46296</v>
      </c>
    </row>
    <row r="276" spans="6:6" ht="33" customHeight="1" x14ac:dyDescent="0.3">
      <c r="F276" s="6">
        <v>46297</v>
      </c>
    </row>
    <row r="277" spans="6:6" ht="33" customHeight="1" x14ac:dyDescent="0.3">
      <c r="F277" s="6">
        <v>46298</v>
      </c>
    </row>
    <row r="278" spans="6:6" ht="33" customHeight="1" x14ac:dyDescent="0.3">
      <c r="F278" s="6">
        <v>46299</v>
      </c>
    </row>
    <row r="279" spans="6:6" ht="33" customHeight="1" x14ac:dyDescent="0.3">
      <c r="F279" s="6">
        <v>46300</v>
      </c>
    </row>
    <row r="280" spans="6:6" ht="33" customHeight="1" x14ac:dyDescent="0.3">
      <c r="F280" s="6">
        <v>46301</v>
      </c>
    </row>
    <row r="281" spans="6:6" ht="33" customHeight="1" x14ac:dyDescent="0.3">
      <c r="F281" s="6">
        <v>46302</v>
      </c>
    </row>
    <row r="282" spans="6:6" ht="33" customHeight="1" x14ac:dyDescent="0.3">
      <c r="F282" s="6">
        <v>46303</v>
      </c>
    </row>
    <row r="283" spans="6:6" ht="33" customHeight="1" x14ac:dyDescent="0.3">
      <c r="F283" s="6">
        <v>46304</v>
      </c>
    </row>
    <row r="284" spans="6:6" ht="33" customHeight="1" x14ac:dyDescent="0.3">
      <c r="F284" s="6">
        <v>46305</v>
      </c>
    </row>
    <row r="285" spans="6:6" ht="33" customHeight="1" x14ac:dyDescent="0.3">
      <c r="F285" s="6">
        <v>46306</v>
      </c>
    </row>
    <row r="286" spans="6:6" ht="33" customHeight="1" x14ac:dyDescent="0.3">
      <c r="F286" s="6">
        <v>46307</v>
      </c>
    </row>
    <row r="287" spans="6:6" ht="33" customHeight="1" x14ac:dyDescent="0.3">
      <c r="F287" s="6">
        <v>46308</v>
      </c>
    </row>
    <row r="288" spans="6:6" ht="33" customHeight="1" x14ac:dyDescent="0.3">
      <c r="F288" s="6">
        <v>46309</v>
      </c>
    </row>
    <row r="289" spans="6:6" ht="33" customHeight="1" x14ac:dyDescent="0.3">
      <c r="F289" s="6">
        <v>46310</v>
      </c>
    </row>
    <row r="290" spans="6:6" ht="33" customHeight="1" x14ac:dyDescent="0.3">
      <c r="F290" s="6">
        <v>46311</v>
      </c>
    </row>
    <row r="291" spans="6:6" ht="33" customHeight="1" x14ac:dyDescent="0.3">
      <c r="F291" s="6">
        <v>46312</v>
      </c>
    </row>
    <row r="292" spans="6:6" ht="33" customHeight="1" x14ac:dyDescent="0.3">
      <c r="F292" s="6">
        <v>46313</v>
      </c>
    </row>
    <row r="293" spans="6:6" ht="33" customHeight="1" x14ac:dyDescent="0.3">
      <c r="F293" s="6">
        <v>46314</v>
      </c>
    </row>
    <row r="294" spans="6:6" ht="33" customHeight="1" x14ac:dyDescent="0.3">
      <c r="F294" s="6">
        <v>46315</v>
      </c>
    </row>
    <row r="295" spans="6:6" ht="33" customHeight="1" x14ac:dyDescent="0.3">
      <c r="F295" s="6">
        <v>46316</v>
      </c>
    </row>
    <row r="296" spans="6:6" ht="33" customHeight="1" x14ac:dyDescent="0.3">
      <c r="F296" s="6">
        <v>46317</v>
      </c>
    </row>
    <row r="297" spans="6:6" ht="33" customHeight="1" x14ac:dyDescent="0.3">
      <c r="F297" s="6">
        <v>46318</v>
      </c>
    </row>
    <row r="298" spans="6:6" ht="33" customHeight="1" x14ac:dyDescent="0.3">
      <c r="F298" s="6">
        <v>46319</v>
      </c>
    </row>
    <row r="299" spans="6:6" ht="33" customHeight="1" x14ac:dyDescent="0.3">
      <c r="F299" s="6">
        <v>46320</v>
      </c>
    </row>
    <row r="300" spans="6:6" ht="33" customHeight="1" x14ac:dyDescent="0.3">
      <c r="F300" s="6">
        <v>46321</v>
      </c>
    </row>
    <row r="301" spans="6:6" ht="33" customHeight="1" x14ac:dyDescent="0.3">
      <c r="F301" s="6">
        <v>46322</v>
      </c>
    </row>
    <row r="302" spans="6:6" ht="33" customHeight="1" x14ac:dyDescent="0.3">
      <c r="F302" s="6">
        <v>46323</v>
      </c>
    </row>
    <row r="303" spans="6:6" ht="33" customHeight="1" x14ac:dyDescent="0.3">
      <c r="F303" s="6">
        <v>46324</v>
      </c>
    </row>
    <row r="304" spans="6:6" ht="33" customHeight="1" x14ac:dyDescent="0.3">
      <c r="F304" s="6">
        <v>46325</v>
      </c>
    </row>
    <row r="305" spans="6:6" ht="33" customHeight="1" x14ac:dyDescent="0.3">
      <c r="F305" s="6">
        <v>46326</v>
      </c>
    </row>
    <row r="306" spans="6:6" ht="33" customHeight="1" x14ac:dyDescent="0.3">
      <c r="F306" s="6">
        <v>46327</v>
      </c>
    </row>
    <row r="307" spans="6:6" ht="33" customHeight="1" x14ac:dyDescent="0.3">
      <c r="F307" s="6">
        <v>46328</v>
      </c>
    </row>
    <row r="308" spans="6:6" ht="33" customHeight="1" x14ac:dyDescent="0.3">
      <c r="F308" s="6">
        <v>46329</v>
      </c>
    </row>
    <row r="309" spans="6:6" ht="33" customHeight="1" x14ac:dyDescent="0.3">
      <c r="F309" s="6">
        <v>46330</v>
      </c>
    </row>
    <row r="310" spans="6:6" ht="33" customHeight="1" x14ac:dyDescent="0.3">
      <c r="F310" s="6">
        <v>46331</v>
      </c>
    </row>
    <row r="311" spans="6:6" ht="33" customHeight="1" x14ac:dyDescent="0.3">
      <c r="F311" s="6">
        <v>46332</v>
      </c>
    </row>
    <row r="312" spans="6:6" ht="33" customHeight="1" x14ac:dyDescent="0.3">
      <c r="F312" s="6">
        <v>46333</v>
      </c>
    </row>
    <row r="313" spans="6:6" ht="33" customHeight="1" x14ac:dyDescent="0.3">
      <c r="F313" s="6">
        <v>46334</v>
      </c>
    </row>
    <row r="314" spans="6:6" ht="33" customHeight="1" x14ac:dyDescent="0.3">
      <c r="F314" s="6">
        <v>46335</v>
      </c>
    </row>
    <row r="315" spans="6:6" ht="33" customHeight="1" x14ac:dyDescent="0.3">
      <c r="F315" s="6">
        <v>46336</v>
      </c>
    </row>
    <row r="316" spans="6:6" ht="33" customHeight="1" x14ac:dyDescent="0.3">
      <c r="F316" s="6">
        <v>46337</v>
      </c>
    </row>
    <row r="317" spans="6:6" ht="33" customHeight="1" x14ac:dyDescent="0.3">
      <c r="F317" s="6">
        <v>46338</v>
      </c>
    </row>
    <row r="318" spans="6:6" ht="33" customHeight="1" x14ac:dyDescent="0.3">
      <c r="F318" s="6">
        <v>46339</v>
      </c>
    </row>
    <row r="319" spans="6:6" ht="33" customHeight="1" x14ac:dyDescent="0.3">
      <c r="F319" s="6">
        <v>46340</v>
      </c>
    </row>
    <row r="320" spans="6:6" ht="33" customHeight="1" x14ac:dyDescent="0.3">
      <c r="F320" s="6">
        <v>46341</v>
      </c>
    </row>
    <row r="321" spans="6:6" ht="33" customHeight="1" x14ac:dyDescent="0.3">
      <c r="F321" s="6">
        <v>46342</v>
      </c>
    </row>
    <row r="322" spans="6:6" ht="33" customHeight="1" x14ac:dyDescent="0.3">
      <c r="F322" s="6">
        <v>46343</v>
      </c>
    </row>
    <row r="323" spans="6:6" ht="33" customHeight="1" x14ac:dyDescent="0.3">
      <c r="F323" s="6">
        <v>46344</v>
      </c>
    </row>
    <row r="324" spans="6:6" ht="33" customHeight="1" x14ac:dyDescent="0.3">
      <c r="F324" s="6">
        <v>46345</v>
      </c>
    </row>
    <row r="325" spans="6:6" ht="33" customHeight="1" x14ac:dyDescent="0.3">
      <c r="F325" s="6">
        <v>46346</v>
      </c>
    </row>
    <row r="326" spans="6:6" ht="33" customHeight="1" x14ac:dyDescent="0.3">
      <c r="F326" s="6">
        <v>46347</v>
      </c>
    </row>
    <row r="327" spans="6:6" ht="33" customHeight="1" x14ac:dyDescent="0.3">
      <c r="F327" s="6">
        <v>46348</v>
      </c>
    </row>
    <row r="328" spans="6:6" ht="33" customHeight="1" x14ac:dyDescent="0.3">
      <c r="F328" s="6">
        <v>46349</v>
      </c>
    </row>
    <row r="329" spans="6:6" ht="33" customHeight="1" x14ac:dyDescent="0.3">
      <c r="F329" s="6">
        <v>46350</v>
      </c>
    </row>
    <row r="330" spans="6:6" ht="33" customHeight="1" x14ac:dyDescent="0.3">
      <c r="F330" s="6">
        <v>46351</v>
      </c>
    </row>
    <row r="331" spans="6:6" ht="33" customHeight="1" x14ac:dyDescent="0.3">
      <c r="F331" s="6">
        <v>46352</v>
      </c>
    </row>
    <row r="332" spans="6:6" ht="33" customHeight="1" x14ac:dyDescent="0.3">
      <c r="F332" s="6">
        <v>46353</v>
      </c>
    </row>
    <row r="333" spans="6:6" ht="33" customHeight="1" x14ac:dyDescent="0.3">
      <c r="F333" s="6">
        <v>46354</v>
      </c>
    </row>
    <row r="334" spans="6:6" ht="33" customHeight="1" x14ac:dyDescent="0.3">
      <c r="F334" s="6">
        <v>46355</v>
      </c>
    </row>
    <row r="335" spans="6:6" ht="33" customHeight="1" x14ac:dyDescent="0.3">
      <c r="F335" s="6">
        <v>46356</v>
      </c>
    </row>
    <row r="336" spans="6:6" ht="33" customHeight="1" x14ac:dyDescent="0.3">
      <c r="F336" s="6">
        <v>46357</v>
      </c>
    </row>
    <row r="337" spans="6:6" ht="33" customHeight="1" x14ac:dyDescent="0.3">
      <c r="F337" s="6">
        <v>46358</v>
      </c>
    </row>
    <row r="338" spans="6:6" ht="33" customHeight="1" x14ac:dyDescent="0.3">
      <c r="F338" s="6">
        <v>46359</v>
      </c>
    </row>
    <row r="339" spans="6:6" ht="33" customHeight="1" x14ac:dyDescent="0.3">
      <c r="F339" s="6">
        <v>46360</v>
      </c>
    </row>
    <row r="340" spans="6:6" ht="33" customHeight="1" x14ac:dyDescent="0.3">
      <c r="F340" s="6">
        <v>46361</v>
      </c>
    </row>
    <row r="341" spans="6:6" ht="33" customHeight="1" x14ac:dyDescent="0.3">
      <c r="F341" s="6">
        <v>46362</v>
      </c>
    </row>
    <row r="342" spans="6:6" ht="33" customHeight="1" x14ac:dyDescent="0.3">
      <c r="F342" s="6">
        <v>46363</v>
      </c>
    </row>
    <row r="343" spans="6:6" ht="33" customHeight="1" x14ac:dyDescent="0.3">
      <c r="F343" s="6">
        <v>46364</v>
      </c>
    </row>
    <row r="344" spans="6:6" ht="33" customHeight="1" x14ac:dyDescent="0.3">
      <c r="F344" s="6">
        <v>46365</v>
      </c>
    </row>
    <row r="345" spans="6:6" ht="33" customHeight="1" x14ac:dyDescent="0.3">
      <c r="F345" s="6">
        <v>46366</v>
      </c>
    </row>
    <row r="346" spans="6:6" ht="33" customHeight="1" x14ac:dyDescent="0.3">
      <c r="F346" s="6">
        <v>46367</v>
      </c>
    </row>
    <row r="347" spans="6:6" ht="33" customHeight="1" x14ac:dyDescent="0.3">
      <c r="F347" s="6">
        <v>46368</v>
      </c>
    </row>
    <row r="348" spans="6:6" ht="33" customHeight="1" x14ac:dyDescent="0.3">
      <c r="F348" s="6">
        <v>46369</v>
      </c>
    </row>
    <row r="349" spans="6:6" ht="33" customHeight="1" x14ac:dyDescent="0.3">
      <c r="F349" s="6">
        <v>46370</v>
      </c>
    </row>
    <row r="350" spans="6:6" ht="33" customHeight="1" x14ac:dyDescent="0.3">
      <c r="F350" s="6">
        <v>46371</v>
      </c>
    </row>
    <row r="351" spans="6:6" ht="33" customHeight="1" x14ac:dyDescent="0.3">
      <c r="F351" s="6">
        <v>46372</v>
      </c>
    </row>
    <row r="352" spans="6:6" ht="33" customHeight="1" x14ac:dyDescent="0.3">
      <c r="F352" s="6">
        <v>46373</v>
      </c>
    </row>
    <row r="353" spans="6:20" ht="33" customHeight="1" x14ac:dyDescent="0.3">
      <c r="F353" s="6">
        <v>46374</v>
      </c>
    </row>
    <row r="354" spans="6:20" ht="33" customHeight="1" x14ac:dyDescent="0.3">
      <c r="F354" s="6">
        <v>46375</v>
      </c>
    </row>
    <row r="355" spans="6:20" ht="33" customHeight="1" x14ac:dyDescent="0.3">
      <c r="F355" s="6">
        <v>46376</v>
      </c>
    </row>
    <row r="356" spans="6:20" ht="33" customHeight="1" x14ac:dyDescent="0.3">
      <c r="F356" s="6">
        <v>46377</v>
      </c>
    </row>
    <row r="357" spans="6:20" ht="33" customHeight="1" x14ac:dyDescent="0.3">
      <c r="F357" s="6">
        <v>46378</v>
      </c>
    </row>
    <row r="358" spans="6:20" ht="33" customHeight="1" x14ac:dyDescent="0.3">
      <c r="F358" s="6">
        <v>46379</v>
      </c>
    </row>
    <row r="359" spans="6:20" ht="33" customHeight="1" x14ac:dyDescent="0.3">
      <c r="F359" s="6">
        <v>46380</v>
      </c>
    </row>
    <row r="360" spans="6:20" ht="33" customHeight="1" x14ac:dyDescent="0.3">
      <c r="F360" s="6">
        <v>46381</v>
      </c>
    </row>
    <row r="361" spans="6:20" ht="33" customHeight="1" x14ac:dyDescent="0.3">
      <c r="F361" s="6">
        <v>46382</v>
      </c>
    </row>
    <row r="362" spans="6:20" ht="33" customHeight="1" x14ac:dyDescent="0.3">
      <c r="F362" s="6">
        <v>46383</v>
      </c>
    </row>
    <row r="363" spans="6:20" ht="33" customHeight="1" x14ac:dyDescent="0.3">
      <c r="F363" s="6">
        <v>46384</v>
      </c>
    </row>
    <row r="364" spans="6:20" ht="33" customHeight="1" x14ac:dyDescent="0.3">
      <c r="F364" s="6">
        <v>46385</v>
      </c>
    </row>
    <row r="365" spans="6:20" ht="33" customHeight="1" x14ac:dyDescent="0.3">
      <c r="F365" s="6">
        <v>46386</v>
      </c>
    </row>
    <row r="366" spans="6:20" ht="33" customHeight="1" x14ac:dyDescent="0.3">
      <c r="F366" s="6">
        <v>46387</v>
      </c>
    </row>
    <row r="367" spans="6:20" ht="33" customHeight="1" x14ac:dyDescent="0.45">
      <c r="F367" s="3" t="s">
        <v>12</v>
      </c>
      <c r="G367" s="4">
        <f>SUM(G2:G366)</f>
        <v>37406.699999999997</v>
      </c>
      <c r="H367" s="4">
        <f>SUM(H2:H366)</f>
        <v>3</v>
      </c>
      <c r="I367" s="4">
        <f>SUM(I2:I366)</f>
        <v>39559.770000000004</v>
      </c>
      <c r="J367" s="4">
        <f>SUM(J2:J366)</f>
        <v>53553.53</v>
      </c>
      <c r="K367" s="4">
        <f>SUM(K2:K366)</f>
        <v>6</v>
      </c>
      <c r="L367" s="4">
        <f t="shared" ref="L367:T367" si="1">SUM(L2:L366)</f>
        <v>14771.34</v>
      </c>
      <c r="M367" s="4">
        <f t="shared" si="1"/>
        <v>8827.5400000000009</v>
      </c>
      <c r="N367" s="4">
        <f t="shared" si="1"/>
        <v>8896.81</v>
      </c>
      <c r="O367" s="4">
        <f t="shared" si="1"/>
        <v>9211.5</v>
      </c>
      <c r="P367" s="4">
        <f t="shared" si="1"/>
        <v>0</v>
      </c>
      <c r="Q367" s="4">
        <f t="shared" si="1"/>
        <v>0</v>
      </c>
      <c r="R367" s="4">
        <f t="shared" si="1"/>
        <v>0</v>
      </c>
      <c r="S367" s="4">
        <f t="shared" si="1"/>
        <v>0</v>
      </c>
      <c r="T367" s="4">
        <f t="shared" si="1"/>
        <v>0</v>
      </c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7"/>
  <sheetViews>
    <sheetView topLeftCell="B1" zoomScale="85" zoomScaleNormal="85" workbookViewId="0">
      <pane ySplit="1" topLeftCell="A350" activePane="bottomLeft" state="frozen"/>
      <selection activeCell="B1" sqref="B1"/>
      <selection pane="bottomLeft" activeCell="B1" sqref="B1"/>
    </sheetView>
  </sheetViews>
  <sheetFormatPr defaultRowHeight="14.4" x14ac:dyDescent="0.3"/>
  <cols>
    <col min="1" max="1" width="74.44140625" customWidth="1"/>
    <col min="2" max="2" width="25.109375" customWidth="1"/>
    <col min="3" max="3" width="44.44140625" customWidth="1"/>
    <col min="4" max="4" width="15" bestFit="1" customWidth="1"/>
    <col min="6" max="6" width="16.109375" customWidth="1"/>
    <col min="7" max="9" width="26" customWidth="1"/>
    <col min="10" max="11" width="24.5546875" customWidth="1"/>
    <col min="12" max="20" width="18.6640625" customWidth="1"/>
  </cols>
  <sheetData>
    <row r="1" spans="1:20" ht="33" customHeight="1" x14ac:dyDescent="0.5">
      <c r="A1" s="10" t="s">
        <v>5</v>
      </c>
      <c r="B1" s="23">
        <f>SUM(G367,I367,J367)</f>
        <v>24161.33</v>
      </c>
      <c r="F1" s="5" t="s">
        <v>3</v>
      </c>
      <c r="G1" s="7" t="s">
        <v>16</v>
      </c>
      <c r="H1" s="7" t="s">
        <v>35</v>
      </c>
      <c r="I1" s="7" t="s">
        <v>17</v>
      </c>
      <c r="J1" s="7" t="s">
        <v>18</v>
      </c>
      <c r="K1" s="7" t="s">
        <v>36</v>
      </c>
      <c r="L1" s="7" t="s">
        <v>6</v>
      </c>
      <c r="M1" s="7" t="s">
        <v>7</v>
      </c>
      <c r="N1" s="7" t="s">
        <v>11</v>
      </c>
      <c r="O1" s="7" t="s">
        <v>9</v>
      </c>
      <c r="P1" s="7" t="s">
        <v>10</v>
      </c>
      <c r="Q1" s="7" t="s">
        <v>13</v>
      </c>
      <c r="R1" s="7" t="s">
        <v>8</v>
      </c>
      <c r="S1" s="7" t="s">
        <v>14</v>
      </c>
      <c r="T1" s="7" t="s">
        <v>15</v>
      </c>
    </row>
    <row r="2" spans="1:20" ht="33" customHeight="1" x14ac:dyDescent="0.5">
      <c r="A2" s="11" t="s">
        <v>4</v>
      </c>
      <c r="B2" s="24">
        <f>SUM(I367,J367)</f>
        <v>12032.65</v>
      </c>
      <c r="F2" s="6">
        <v>46023</v>
      </c>
    </row>
    <row r="3" spans="1:20" ht="33" customHeight="1" x14ac:dyDescent="0.5">
      <c r="A3" s="8" t="s">
        <v>19</v>
      </c>
      <c r="B3" s="25">
        <f>SUM(L367,M367,N367,O367,P367,Q367,R367,S367,T367)</f>
        <v>17939.900000000001</v>
      </c>
      <c r="F3" s="6">
        <v>46024</v>
      </c>
    </row>
    <row r="4" spans="1:20" ht="33" customHeight="1" x14ac:dyDescent="0.5">
      <c r="A4" s="13" t="s">
        <v>0</v>
      </c>
      <c r="B4" s="26">
        <f>K367</f>
        <v>0</v>
      </c>
      <c r="F4" s="6">
        <v>46025</v>
      </c>
    </row>
    <row r="5" spans="1:20" ht="33" customHeight="1" x14ac:dyDescent="0.5">
      <c r="A5" s="15" t="s">
        <v>1</v>
      </c>
      <c r="B5" s="27">
        <f>H367</f>
        <v>1</v>
      </c>
      <c r="F5" s="6">
        <v>46026</v>
      </c>
    </row>
    <row r="6" spans="1:20" ht="33" customHeight="1" x14ac:dyDescent="0.5">
      <c r="A6" s="16" t="s">
        <v>20</v>
      </c>
      <c r="B6" s="44">
        <f>IF(B1+B3=0,0,B2/(B1+B3))</f>
        <v>0.28580281383703038</v>
      </c>
      <c r="F6" s="6">
        <v>46027</v>
      </c>
    </row>
    <row r="7" spans="1:20" ht="33" customHeight="1" x14ac:dyDescent="0.5">
      <c r="A7" s="18" t="s">
        <v>27</v>
      </c>
      <c r="B7" s="27" t="str">
        <f>IF(B6&lt;=0.699, "✅ Uygun", "❌ Aşıldı")</f>
        <v>✅ Uygun</v>
      </c>
      <c r="F7" s="6">
        <v>46028</v>
      </c>
    </row>
    <row r="8" spans="1:20" ht="33" customHeight="1" x14ac:dyDescent="0.5">
      <c r="A8" s="19" t="s">
        <v>22</v>
      </c>
      <c r="B8" s="26">
        <f>B4*0.3</f>
        <v>0</v>
      </c>
      <c r="F8" s="6">
        <v>46029</v>
      </c>
    </row>
    <row r="9" spans="1:20" ht="33" customHeight="1" x14ac:dyDescent="0.5">
      <c r="A9" s="14" t="s">
        <v>2</v>
      </c>
      <c r="B9" s="27" t="str">
        <f>IF(B5&gt;=B8, "✅ Uygun", "❌ Yetersiz")</f>
        <v>✅ Uygun</v>
      </c>
      <c r="F9" s="6">
        <v>46030</v>
      </c>
    </row>
    <row r="10" spans="1:20" ht="33" customHeight="1" x14ac:dyDescent="0.5">
      <c r="A10" s="12" t="s">
        <v>26</v>
      </c>
      <c r="B10" s="28">
        <f>IF(B1=0,0,B1/0.799 - B1)-B3</f>
        <v>-11861.768172715896</v>
      </c>
      <c r="F10" s="6">
        <v>46031</v>
      </c>
    </row>
    <row r="11" spans="1:20" ht="33" customHeight="1" x14ac:dyDescent="0.5">
      <c r="A11" s="21" t="s">
        <v>21</v>
      </c>
      <c r="B11" s="43">
        <f>IF(SUM(B1,B3)=0, 0, B1/SUM(B1,B3))</f>
        <v>0.5738865586587375</v>
      </c>
      <c r="F11" s="6">
        <v>46032</v>
      </c>
    </row>
    <row r="12" spans="1:20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6">
        <v>46033</v>
      </c>
    </row>
    <row r="13" spans="1:20" ht="33" customHeight="1" x14ac:dyDescent="0.5">
      <c r="A13" s="17" t="s">
        <v>25</v>
      </c>
      <c r="B13" s="30">
        <f>IF(B2=0,0,B2/0.699 - B2)-B3</f>
        <v>-12758.458440629473</v>
      </c>
      <c r="C13" s="1"/>
      <c r="F13" s="6">
        <v>46034</v>
      </c>
    </row>
    <row r="14" spans="1:20" ht="33" customHeight="1" x14ac:dyDescent="0.5">
      <c r="A14" s="9" t="s">
        <v>23</v>
      </c>
      <c r="B14" s="41">
        <f>IF(B2=0,0,(M367+O367+P367+R367+T367)/B2)</f>
        <v>0.25272737094488745</v>
      </c>
      <c r="F14" s="6">
        <v>46035</v>
      </c>
    </row>
    <row r="15" spans="1:20" ht="33" customHeight="1" x14ac:dyDescent="0.5">
      <c r="A15" s="22" t="s">
        <v>24</v>
      </c>
      <c r="B15" s="27" t="str">
        <f>IF(B14&gt;=0.1,"✅ Uygun","❌ Aşıldı")</f>
        <v>✅ Uygun</v>
      </c>
      <c r="F15" s="6">
        <v>46036</v>
      </c>
    </row>
    <row r="16" spans="1:20" ht="33" customHeight="1" x14ac:dyDescent="0.5">
      <c r="A16" s="22" t="s">
        <v>38</v>
      </c>
      <c r="B16" s="25">
        <f>M367+O367+P367+R367+T367</f>
        <v>3040.98</v>
      </c>
      <c r="F16" s="6">
        <v>46037</v>
      </c>
    </row>
    <row r="17" spans="1:15" ht="33" customHeight="1" x14ac:dyDescent="0.3">
      <c r="F17" s="6">
        <v>46038</v>
      </c>
    </row>
    <row r="18" spans="1:15" ht="33" customHeight="1" x14ac:dyDescent="0.55000000000000004">
      <c r="A18" s="48" t="s">
        <v>32</v>
      </c>
      <c r="B18" s="49"/>
      <c r="F18" s="6">
        <v>46039</v>
      </c>
    </row>
    <row r="19" spans="1:15" ht="33" customHeight="1" x14ac:dyDescent="0.5">
      <c r="A19" s="16" t="s">
        <v>20</v>
      </c>
      <c r="B19" s="42">
        <f>B6</f>
        <v>0.28580281383703038</v>
      </c>
      <c r="F19" s="6">
        <v>46040</v>
      </c>
      <c r="O19">
        <v>1191</v>
      </c>
    </row>
    <row r="20" spans="1:15" ht="33" customHeight="1" x14ac:dyDescent="0.5">
      <c r="A20" s="18" t="s">
        <v>27</v>
      </c>
      <c r="B20" s="32" t="str">
        <f>B7</f>
        <v>✅ Uygun</v>
      </c>
      <c r="F20" s="6">
        <v>46041</v>
      </c>
      <c r="G20">
        <v>12128.68</v>
      </c>
      <c r="H20">
        <v>1</v>
      </c>
      <c r="I20">
        <v>12032.65</v>
      </c>
      <c r="O20">
        <v>1849.98</v>
      </c>
    </row>
    <row r="21" spans="1:15" ht="33" customHeight="1" x14ac:dyDescent="0.5">
      <c r="A21" s="17" t="s">
        <v>26</v>
      </c>
      <c r="B21" s="34">
        <f>B10</f>
        <v>-11861.768172715896</v>
      </c>
      <c r="F21" s="6">
        <v>46042</v>
      </c>
    </row>
    <row r="22" spans="1:15" ht="33" customHeight="1" x14ac:dyDescent="0.5">
      <c r="A22" s="21" t="s">
        <v>21</v>
      </c>
      <c r="B22" s="42">
        <f t="shared" ref="B22:B26" si="0">B11</f>
        <v>0.5738865586587375</v>
      </c>
      <c r="F22" s="6">
        <v>46043</v>
      </c>
    </row>
    <row r="23" spans="1:15" ht="33" customHeight="1" x14ac:dyDescent="0.5">
      <c r="A23" s="20" t="s">
        <v>28</v>
      </c>
      <c r="B23" s="33" t="str">
        <f t="shared" si="0"/>
        <v>✅ Uygun</v>
      </c>
      <c r="F23" s="6">
        <v>46044</v>
      </c>
    </row>
    <row r="24" spans="1:15" ht="33" customHeight="1" x14ac:dyDescent="0.5">
      <c r="A24" s="17" t="s">
        <v>25</v>
      </c>
      <c r="B24" s="34">
        <f t="shared" si="0"/>
        <v>-12758.458440629473</v>
      </c>
      <c r="F24" s="6">
        <v>46045</v>
      </c>
    </row>
    <row r="25" spans="1:15" ht="33" customHeight="1" x14ac:dyDescent="0.5">
      <c r="A25" s="9" t="s">
        <v>23</v>
      </c>
      <c r="B25" s="42">
        <f t="shared" si="0"/>
        <v>0.25272737094488745</v>
      </c>
      <c r="F25" s="6">
        <v>46046</v>
      </c>
    </row>
    <row r="26" spans="1:15" ht="33" customHeight="1" x14ac:dyDescent="0.5">
      <c r="A26" s="22" t="s">
        <v>24</v>
      </c>
      <c r="B26" s="32" t="str">
        <f t="shared" si="0"/>
        <v>✅ Uygun</v>
      </c>
      <c r="F26" s="6">
        <v>46047</v>
      </c>
    </row>
    <row r="27" spans="1:15" ht="33" customHeight="1" x14ac:dyDescent="0.5">
      <c r="A27" s="14" t="s">
        <v>2</v>
      </c>
      <c r="B27" s="32" t="str">
        <f>B9</f>
        <v>✅ Uygun</v>
      </c>
      <c r="F27" s="6">
        <v>46048</v>
      </c>
      <c r="N27">
        <v>1951</v>
      </c>
    </row>
    <row r="28" spans="1:15" ht="33" customHeight="1" x14ac:dyDescent="0.3">
      <c r="F28" s="6">
        <v>46049</v>
      </c>
    </row>
    <row r="29" spans="1:15" ht="33" customHeight="1" x14ac:dyDescent="0.3">
      <c r="F29" s="6">
        <v>46050</v>
      </c>
      <c r="L29">
        <v>12947.92</v>
      </c>
    </row>
    <row r="30" spans="1:15" ht="33" customHeight="1" x14ac:dyDescent="0.3">
      <c r="F30" s="6">
        <v>46051</v>
      </c>
    </row>
    <row r="31" spans="1:15" ht="33" customHeight="1" x14ac:dyDescent="0.3">
      <c r="F31" s="6">
        <v>46052</v>
      </c>
    </row>
    <row r="32" spans="1:15" ht="33" customHeight="1" x14ac:dyDescent="0.3">
      <c r="F32" s="6">
        <v>46053</v>
      </c>
    </row>
    <row r="33" spans="6:6" ht="33" customHeight="1" x14ac:dyDescent="0.3">
      <c r="F33" s="6">
        <v>46054</v>
      </c>
    </row>
    <row r="34" spans="6:6" ht="33" customHeight="1" x14ac:dyDescent="0.3">
      <c r="F34" s="6">
        <v>46055</v>
      </c>
    </row>
    <row r="35" spans="6:6" ht="33" customHeight="1" x14ac:dyDescent="0.3">
      <c r="F35" s="6">
        <v>46056</v>
      </c>
    </row>
    <row r="36" spans="6:6" ht="33" customHeight="1" x14ac:dyDescent="0.3">
      <c r="F36" s="6">
        <v>46057</v>
      </c>
    </row>
    <row r="37" spans="6:6" ht="33" customHeight="1" x14ac:dyDescent="0.3">
      <c r="F37" s="6">
        <v>46058</v>
      </c>
    </row>
    <row r="38" spans="6:6" ht="33" customHeight="1" x14ac:dyDescent="0.3">
      <c r="F38" s="6">
        <v>46059</v>
      </c>
    </row>
    <row r="39" spans="6:6" ht="33" customHeight="1" x14ac:dyDescent="0.3">
      <c r="F39" s="6">
        <v>46060</v>
      </c>
    </row>
    <row r="40" spans="6:6" ht="33" customHeight="1" x14ac:dyDescent="0.3">
      <c r="F40" s="6">
        <v>46061</v>
      </c>
    </row>
    <row r="41" spans="6:6" ht="33" customHeight="1" x14ac:dyDescent="0.3">
      <c r="F41" s="6">
        <v>46062</v>
      </c>
    </row>
    <row r="42" spans="6:6" ht="33" customHeight="1" x14ac:dyDescent="0.3">
      <c r="F42" s="6">
        <v>46063</v>
      </c>
    </row>
    <row r="43" spans="6:6" ht="33" customHeight="1" x14ac:dyDescent="0.3">
      <c r="F43" s="6">
        <v>46064</v>
      </c>
    </row>
    <row r="44" spans="6:6" ht="33" customHeight="1" x14ac:dyDescent="0.3">
      <c r="F44" s="6">
        <v>46065</v>
      </c>
    </row>
    <row r="45" spans="6:6" ht="33" customHeight="1" x14ac:dyDescent="0.3">
      <c r="F45" s="6">
        <v>46066</v>
      </c>
    </row>
    <row r="46" spans="6:6" ht="33" customHeight="1" x14ac:dyDescent="0.3">
      <c r="F46" s="6">
        <v>46067</v>
      </c>
    </row>
    <row r="47" spans="6:6" ht="33" customHeight="1" x14ac:dyDescent="0.3">
      <c r="F47" s="6">
        <v>46068</v>
      </c>
    </row>
    <row r="48" spans="6:6" ht="33" customHeight="1" x14ac:dyDescent="0.3">
      <c r="F48" s="6">
        <v>46069</v>
      </c>
    </row>
    <row r="49" spans="6:6" ht="33" customHeight="1" x14ac:dyDescent="0.3">
      <c r="F49" s="6">
        <v>46070</v>
      </c>
    </row>
    <row r="50" spans="6:6" ht="33" customHeight="1" x14ac:dyDescent="0.3">
      <c r="F50" s="6">
        <v>46071</v>
      </c>
    </row>
    <row r="51" spans="6:6" ht="33" customHeight="1" x14ac:dyDescent="0.3">
      <c r="F51" s="6">
        <v>46072</v>
      </c>
    </row>
    <row r="52" spans="6:6" ht="33" customHeight="1" x14ac:dyDescent="0.3">
      <c r="F52" s="6">
        <v>46073</v>
      </c>
    </row>
    <row r="53" spans="6:6" ht="33" customHeight="1" x14ac:dyDescent="0.3">
      <c r="F53" s="6">
        <v>46074</v>
      </c>
    </row>
    <row r="54" spans="6:6" ht="33" customHeight="1" x14ac:dyDescent="0.3">
      <c r="F54" s="6">
        <v>46075</v>
      </c>
    </row>
    <row r="55" spans="6:6" ht="33" customHeight="1" x14ac:dyDescent="0.3">
      <c r="F55" s="6">
        <v>46076</v>
      </c>
    </row>
    <row r="56" spans="6:6" ht="33" customHeight="1" x14ac:dyDescent="0.3">
      <c r="F56" s="6">
        <v>46077</v>
      </c>
    </row>
    <row r="57" spans="6:6" ht="33" customHeight="1" x14ac:dyDescent="0.3">
      <c r="F57" s="6">
        <v>46078</v>
      </c>
    </row>
    <row r="58" spans="6:6" ht="33" customHeight="1" x14ac:dyDescent="0.3">
      <c r="F58" s="6">
        <v>46079</v>
      </c>
    </row>
    <row r="59" spans="6:6" ht="33" customHeight="1" x14ac:dyDescent="0.3">
      <c r="F59" s="6">
        <v>46080</v>
      </c>
    </row>
    <row r="60" spans="6:6" ht="33" customHeight="1" x14ac:dyDescent="0.3">
      <c r="F60" s="6">
        <v>46081</v>
      </c>
    </row>
    <row r="61" spans="6:6" ht="33" customHeight="1" x14ac:dyDescent="0.3">
      <c r="F61" s="6">
        <v>46082</v>
      </c>
    </row>
    <row r="62" spans="6:6" ht="33" customHeight="1" x14ac:dyDescent="0.3">
      <c r="F62" s="6">
        <v>46083</v>
      </c>
    </row>
    <row r="63" spans="6:6" ht="33" customHeight="1" x14ac:dyDescent="0.3">
      <c r="F63" s="6">
        <v>46084</v>
      </c>
    </row>
    <row r="64" spans="6:6" ht="33" customHeight="1" x14ac:dyDescent="0.3">
      <c r="F64" s="6">
        <v>46085</v>
      </c>
    </row>
    <row r="65" spans="6:6" ht="33" customHeight="1" x14ac:dyDescent="0.3">
      <c r="F65" s="6">
        <v>46086</v>
      </c>
    </row>
    <row r="66" spans="6:6" ht="33" customHeight="1" x14ac:dyDescent="0.3">
      <c r="F66" s="6">
        <v>46087</v>
      </c>
    </row>
    <row r="67" spans="6:6" ht="33" customHeight="1" x14ac:dyDescent="0.3">
      <c r="F67" s="6">
        <v>46088</v>
      </c>
    </row>
    <row r="68" spans="6:6" ht="33" customHeight="1" x14ac:dyDescent="0.3">
      <c r="F68" s="6">
        <v>46089</v>
      </c>
    </row>
    <row r="69" spans="6:6" ht="33" customHeight="1" x14ac:dyDescent="0.3">
      <c r="F69" s="6">
        <v>46090</v>
      </c>
    </row>
    <row r="70" spans="6:6" ht="33" customHeight="1" x14ac:dyDescent="0.3">
      <c r="F70" s="6">
        <v>46091</v>
      </c>
    </row>
    <row r="71" spans="6:6" ht="33" customHeight="1" x14ac:dyDescent="0.3">
      <c r="F71" s="6">
        <v>46092</v>
      </c>
    </row>
    <row r="72" spans="6:6" ht="33" customHeight="1" x14ac:dyDescent="0.3">
      <c r="F72" s="6">
        <v>46093</v>
      </c>
    </row>
    <row r="73" spans="6:6" ht="33" customHeight="1" x14ac:dyDescent="0.3">
      <c r="F73" s="6">
        <v>46094</v>
      </c>
    </row>
    <row r="74" spans="6:6" ht="33" customHeight="1" x14ac:dyDescent="0.3">
      <c r="F74" s="6">
        <v>46095</v>
      </c>
    </row>
    <row r="75" spans="6:6" ht="33" customHeight="1" x14ac:dyDescent="0.3">
      <c r="F75" s="6">
        <v>46096</v>
      </c>
    </row>
    <row r="76" spans="6:6" ht="33" customHeight="1" x14ac:dyDescent="0.3">
      <c r="F76" s="6">
        <v>46097</v>
      </c>
    </row>
    <row r="77" spans="6:6" ht="33" customHeight="1" x14ac:dyDescent="0.3">
      <c r="F77" s="6">
        <v>46098</v>
      </c>
    </row>
    <row r="78" spans="6:6" ht="33" customHeight="1" x14ac:dyDescent="0.3">
      <c r="F78" s="6">
        <v>46099</v>
      </c>
    </row>
    <row r="79" spans="6:6" ht="33" customHeight="1" x14ac:dyDescent="0.3">
      <c r="F79" s="6">
        <v>46100</v>
      </c>
    </row>
    <row r="80" spans="6:6" ht="33" customHeight="1" x14ac:dyDescent="0.3">
      <c r="F80" s="6">
        <v>46101</v>
      </c>
    </row>
    <row r="81" spans="6:6" ht="33" customHeight="1" x14ac:dyDescent="0.3">
      <c r="F81" s="6">
        <v>46102</v>
      </c>
    </row>
    <row r="82" spans="6:6" ht="33" customHeight="1" x14ac:dyDescent="0.3">
      <c r="F82" s="6">
        <v>46103</v>
      </c>
    </row>
    <row r="83" spans="6:6" ht="33" customHeight="1" x14ac:dyDescent="0.3">
      <c r="F83" s="6">
        <v>46104</v>
      </c>
    </row>
    <row r="84" spans="6:6" ht="33" customHeight="1" x14ac:dyDescent="0.3">
      <c r="F84" s="6">
        <v>46105</v>
      </c>
    </row>
    <row r="85" spans="6:6" ht="33" customHeight="1" x14ac:dyDescent="0.3">
      <c r="F85" s="6">
        <v>46106</v>
      </c>
    </row>
    <row r="86" spans="6:6" ht="33" customHeight="1" x14ac:dyDescent="0.3">
      <c r="F86" s="6">
        <v>46107</v>
      </c>
    </row>
    <row r="87" spans="6:6" ht="33" customHeight="1" x14ac:dyDescent="0.3">
      <c r="F87" s="6">
        <v>46108</v>
      </c>
    </row>
    <row r="88" spans="6:6" ht="33" customHeight="1" x14ac:dyDescent="0.3">
      <c r="F88" s="6">
        <v>46109</v>
      </c>
    </row>
    <row r="89" spans="6:6" ht="33" customHeight="1" x14ac:dyDescent="0.3">
      <c r="F89" s="6">
        <v>46110</v>
      </c>
    </row>
    <row r="90" spans="6:6" ht="33" customHeight="1" x14ac:dyDescent="0.3">
      <c r="F90" s="6">
        <v>46111</v>
      </c>
    </row>
    <row r="91" spans="6:6" ht="33" customHeight="1" x14ac:dyDescent="0.3">
      <c r="F91" s="6">
        <v>46112</v>
      </c>
    </row>
    <row r="92" spans="6:6" ht="33" customHeight="1" x14ac:dyDescent="0.3">
      <c r="F92" s="6">
        <v>46113</v>
      </c>
    </row>
    <row r="93" spans="6:6" ht="33" customHeight="1" x14ac:dyDescent="0.3">
      <c r="F93" s="6">
        <v>46114</v>
      </c>
    </row>
    <row r="94" spans="6:6" ht="33" customHeight="1" x14ac:dyDescent="0.3">
      <c r="F94" s="6">
        <v>46115</v>
      </c>
    </row>
    <row r="95" spans="6:6" ht="33" customHeight="1" x14ac:dyDescent="0.3">
      <c r="F95" s="6">
        <v>46116</v>
      </c>
    </row>
    <row r="96" spans="6:6" ht="33" customHeight="1" x14ac:dyDescent="0.3">
      <c r="F96" s="6">
        <v>46117</v>
      </c>
    </row>
    <row r="97" spans="6:6" ht="33" customHeight="1" x14ac:dyDescent="0.3">
      <c r="F97" s="6">
        <v>46118</v>
      </c>
    </row>
    <row r="98" spans="6:6" ht="33" customHeight="1" x14ac:dyDescent="0.3">
      <c r="F98" s="6">
        <v>46119</v>
      </c>
    </row>
    <row r="99" spans="6:6" ht="33" customHeight="1" x14ac:dyDescent="0.3">
      <c r="F99" s="6">
        <v>46120</v>
      </c>
    </row>
    <row r="100" spans="6:6" ht="33" customHeight="1" x14ac:dyDescent="0.3">
      <c r="F100" s="6">
        <v>46121</v>
      </c>
    </row>
    <row r="101" spans="6:6" ht="33" customHeight="1" x14ac:dyDescent="0.3">
      <c r="F101" s="6">
        <v>46122</v>
      </c>
    </row>
    <row r="102" spans="6:6" ht="33" customHeight="1" x14ac:dyDescent="0.3">
      <c r="F102" s="6">
        <v>46123</v>
      </c>
    </row>
    <row r="103" spans="6:6" ht="33" customHeight="1" x14ac:dyDescent="0.3">
      <c r="F103" s="6">
        <v>46124</v>
      </c>
    </row>
    <row r="104" spans="6:6" ht="33" customHeight="1" x14ac:dyDescent="0.3">
      <c r="F104" s="6">
        <v>46125</v>
      </c>
    </row>
    <row r="105" spans="6:6" ht="33" customHeight="1" x14ac:dyDescent="0.3">
      <c r="F105" s="6">
        <v>46126</v>
      </c>
    </row>
    <row r="106" spans="6:6" ht="33" customHeight="1" x14ac:dyDescent="0.3">
      <c r="F106" s="6">
        <v>46127</v>
      </c>
    </row>
    <row r="107" spans="6:6" ht="33" customHeight="1" x14ac:dyDescent="0.3">
      <c r="F107" s="6">
        <v>46128</v>
      </c>
    </row>
    <row r="108" spans="6:6" ht="33" customHeight="1" x14ac:dyDescent="0.3">
      <c r="F108" s="6">
        <v>46129</v>
      </c>
    </row>
    <row r="109" spans="6:6" ht="33" customHeight="1" x14ac:dyDescent="0.3">
      <c r="F109" s="6">
        <v>46130</v>
      </c>
    </row>
    <row r="110" spans="6:6" ht="33" customHeight="1" x14ac:dyDescent="0.3">
      <c r="F110" s="6">
        <v>46131</v>
      </c>
    </row>
    <row r="111" spans="6:6" ht="33" customHeight="1" x14ac:dyDescent="0.3">
      <c r="F111" s="6">
        <v>46132</v>
      </c>
    </row>
    <row r="112" spans="6:6" ht="33" customHeight="1" x14ac:dyDescent="0.3">
      <c r="F112" s="6">
        <v>46133</v>
      </c>
    </row>
    <row r="113" spans="6:6" ht="33" customHeight="1" x14ac:dyDescent="0.3">
      <c r="F113" s="6">
        <v>46134</v>
      </c>
    </row>
    <row r="114" spans="6:6" ht="33" customHeight="1" x14ac:dyDescent="0.3">
      <c r="F114" s="6">
        <v>46135</v>
      </c>
    </row>
    <row r="115" spans="6:6" ht="33" customHeight="1" x14ac:dyDescent="0.3">
      <c r="F115" s="6">
        <v>46136</v>
      </c>
    </row>
    <row r="116" spans="6:6" ht="33" customHeight="1" x14ac:dyDescent="0.3">
      <c r="F116" s="6">
        <v>46137</v>
      </c>
    </row>
    <row r="117" spans="6:6" ht="33" customHeight="1" x14ac:dyDescent="0.3">
      <c r="F117" s="6">
        <v>46138</v>
      </c>
    </row>
    <row r="118" spans="6:6" ht="33" customHeight="1" x14ac:dyDescent="0.3">
      <c r="F118" s="6">
        <v>46139</v>
      </c>
    </row>
    <row r="119" spans="6:6" ht="33" customHeight="1" x14ac:dyDescent="0.3">
      <c r="F119" s="6">
        <v>46140</v>
      </c>
    </row>
    <row r="120" spans="6:6" ht="33" customHeight="1" x14ac:dyDescent="0.3">
      <c r="F120" s="6">
        <v>46141</v>
      </c>
    </row>
    <row r="121" spans="6:6" ht="33" customHeight="1" x14ac:dyDescent="0.3">
      <c r="F121" s="6">
        <v>46142</v>
      </c>
    </row>
    <row r="122" spans="6:6" ht="33" customHeight="1" x14ac:dyDescent="0.3">
      <c r="F122" s="6">
        <v>46143</v>
      </c>
    </row>
    <row r="123" spans="6:6" ht="33" customHeight="1" x14ac:dyDescent="0.3">
      <c r="F123" s="6">
        <v>46144</v>
      </c>
    </row>
    <row r="124" spans="6:6" ht="33" customHeight="1" x14ac:dyDescent="0.3">
      <c r="F124" s="6">
        <v>46145</v>
      </c>
    </row>
    <row r="125" spans="6:6" ht="33" customHeight="1" x14ac:dyDescent="0.3">
      <c r="F125" s="6">
        <v>46146</v>
      </c>
    </row>
    <row r="126" spans="6:6" ht="33" customHeight="1" x14ac:dyDescent="0.3">
      <c r="F126" s="6">
        <v>46147</v>
      </c>
    </row>
    <row r="127" spans="6:6" ht="33" customHeight="1" x14ac:dyDescent="0.3">
      <c r="F127" s="6">
        <v>46148</v>
      </c>
    </row>
    <row r="128" spans="6:6" ht="33" customHeight="1" x14ac:dyDescent="0.3">
      <c r="F128" s="6">
        <v>46149</v>
      </c>
    </row>
    <row r="129" spans="6:6" ht="33" customHeight="1" x14ac:dyDescent="0.3">
      <c r="F129" s="6">
        <v>46150</v>
      </c>
    </row>
    <row r="130" spans="6:6" ht="33" customHeight="1" x14ac:dyDescent="0.3">
      <c r="F130" s="6">
        <v>46151</v>
      </c>
    </row>
    <row r="131" spans="6:6" ht="33" customHeight="1" x14ac:dyDescent="0.3">
      <c r="F131" s="6">
        <v>46152</v>
      </c>
    </row>
    <row r="132" spans="6:6" ht="33" customHeight="1" x14ac:dyDescent="0.3">
      <c r="F132" s="6">
        <v>46153</v>
      </c>
    </row>
    <row r="133" spans="6:6" ht="33" customHeight="1" x14ac:dyDescent="0.3">
      <c r="F133" s="6">
        <v>46154</v>
      </c>
    </row>
    <row r="134" spans="6:6" ht="33" customHeight="1" x14ac:dyDescent="0.3">
      <c r="F134" s="6">
        <v>46155</v>
      </c>
    </row>
    <row r="135" spans="6:6" ht="33" customHeight="1" x14ac:dyDescent="0.3">
      <c r="F135" s="6">
        <v>46156</v>
      </c>
    </row>
    <row r="136" spans="6:6" ht="33" customHeight="1" x14ac:dyDescent="0.3">
      <c r="F136" s="6">
        <v>46157</v>
      </c>
    </row>
    <row r="137" spans="6:6" ht="33" customHeight="1" x14ac:dyDescent="0.3">
      <c r="F137" s="6">
        <v>46158</v>
      </c>
    </row>
    <row r="138" spans="6:6" ht="33" customHeight="1" x14ac:dyDescent="0.3">
      <c r="F138" s="6">
        <v>46159</v>
      </c>
    </row>
    <row r="139" spans="6:6" ht="33" customHeight="1" x14ac:dyDescent="0.3">
      <c r="F139" s="6">
        <v>46160</v>
      </c>
    </row>
    <row r="140" spans="6:6" ht="33" customHeight="1" x14ac:dyDescent="0.3">
      <c r="F140" s="6">
        <v>46161</v>
      </c>
    </row>
    <row r="141" spans="6:6" ht="33" customHeight="1" x14ac:dyDescent="0.3">
      <c r="F141" s="6">
        <v>46162</v>
      </c>
    </row>
    <row r="142" spans="6:6" ht="33" customHeight="1" x14ac:dyDescent="0.3">
      <c r="F142" s="6">
        <v>46163</v>
      </c>
    </row>
    <row r="143" spans="6:6" ht="33" customHeight="1" x14ac:dyDescent="0.3">
      <c r="F143" s="6">
        <v>46164</v>
      </c>
    </row>
    <row r="144" spans="6:6" ht="33" customHeight="1" x14ac:dyDescent="0.3">
      <c r="F144" s="6">
        <v>46165</v>
      </c>
    </row>
    <row r="145" spans="6:6" ht="33" customHeight="1" x14ac:dyDescent="0.3">
      <c r="F145" s="6">
        <v>46166</v>
      </c>
    </row>
    <row r="146" spans="6:6" ht="33" customHeight="1" x14ac:dyDescent="0.3">
      <c r="F146" s="6">
        <v>46167</v>
      </c>
    </row>
    <row r="147" spans="6:6" ht="33" customHeight="1" x14ac:dyDescent="0.3">
      <c r="F147" s="6">
        <v>46168</v>
      </c>
    </row>
    <row r="148" spans="6:6" ht="33" customHeight="1" x14ac:dyDescent="0.3">
      <c r="F148" s="6">
        <v>46169</v>
      </c>
    </row>
    <row r="149" spans="6:6" ht="33" customHeight="1" x14ac:dyDescent="0.3">
      <c r="F149" s="6">
        <v>46170</v>
      </c>
    </row>
    <row r="150" spans="6:6" ht="33" customHeight="1" x14ac:dyDescent="0.3">
      <c r="F150" s="6">
        <v>46171</v>
      </c>
    </row>
    <row r="151" spans="6:6" ht="33" customHeight="1" x14ac:dyDescent="0.3">
      <c r="F151" s="6">
        <v>46172</v>
      </c>
    </row>
    <row r="152" spans="6:6" ht="33" customHeight="1" x14ac:dyDescent="0.3">
      <c r="F152" s="6">
        <v>46173</v>
      </c>
    </row>
    <row r="153" spans="6:6" ht="33" customHeight="1" x14ac:dyDescent="0.3">
      <c r="F153" s="6">
        <v>46174</v>
      </c>
    </row>
    <row r="154" spans="6:6" ht="33" customHeight="1" x14ac:dyDescent="0.3">
      <c r="F154" s="6">
        <v>46175</v>
      </c>
    </row>
    <row r="155" spans="6:6" ht="33" customHeight="1" x14ac:dyDescent="0.3">
      <c r="F155" s="6">
        <v>46176</v>
      </c>
    </row>
    <row r="156" spans="6:6" ht="33" customHeight="1" x14ac:dyDescent="0.3">
      <c r="F156" s="6">
        <v>46177</v>
      </c>
    </row>
    <row r="157" spans="6:6" ht="33" customHeight="1" x14ac:dyDescent="0.3">
      <c r="F157" s="6">
        <v>46178</v>
      </c>
    </row>
    <row r="158" spans="6:6" ht="33" customHeight="1" x14ac:dyDescent="0.3">
      <c r="F158" s="6">
        <v>46179</v>
      </c>
    </row>
    <row r="159" spans="6:6" ht="33" customHeight="1" x14ac:dyDescent="0.3">
      <c r="F159" s="6">
        <v>46180</v>
      </c>
    </row>
    <row r="160" spans="6:6" ht="33" customHeight="1" x14ac:dyDescent="0.3">
      <c r="F160" s="6">
        <v>46181</v>
      </c>
    </row>
    <row r="161" spans="6:6" ht="33" customHeight="1" x14ac:dyDescent="0.3">
      <c r="F161" s="6">
        <v>46182</v>
      </c>
    </row>
    <row r="162" spans="6:6" ht="33" customHeight="1" x14ac:dyDescent="0.3">
      <c r="F162" s="6">
        <v>46183</v>
      </c>
    </row>
    <row r="163" spans="6:6" ht="33" customHeight="1" x14ac:dyDescent="0.3">
      <c r="F163" s="6">
        <v>46184</v>
      </c>
    </row>
    <row r="164" spans="6:6" ht="33" customHeight="1" x14ac:dyDescent="0.3">
      <c r="F164" s="6">
        <v>46185</v>
      </c>
    </row>
    <row r="165" spans="6:6" ht="33" customHeight="1" x14ac:dyDescent="0.3">
      <c r="F165" s="6">
        <v>46186</v>
      </c>
    </row>
    <row r="166" spans="6:6" ht="33" customHeight="1" x14ac:dyDescent="0.3">
      <c r="F166" s="6">
        <v>46187</v>
      </c>
    </row>
    <row r="167" spans="6:6" ht="33" customHeight="1" x14ac:dyDescent="0.3">
      <c r="F167" s="6">
        <v>46188</v>
      </c>
    </row>
    <row r="168" spans="6:6" ht="33" customHeight="1" x14ac:dyDescent="0.3">
      <c r="F168" s="6">
        <v>46189</v>
      </c>
    </row>
    <row r="169" spans="6:6" ht="33" customHeight="1" x14ac:dyDescent="0.3">
      <c r="F169" s="6">
        <v>46190</v>
      </c>
    </row>
    <row r="170" spans="6:6" ht="33" customHeight="1" x14ac:dyDescent="0.3">
      <c r="F170" s="6">
        <v>46191</v>
      </c>
    </row>
    <row r="171" spans="6:6" ht="33" customHeight="1" x14ac:dyDescent="0.3">
      <c r="F171" s="6">
        <v>46192</v>
      </c>
    </row>
    <row r="172" spans="6:6" ht="33" customHeight="1" x14ac:dyDescent="0.3">
      <c r="F172" s="6">
        <v>46193</v>
      </c>
    </row>
    <row r="173" spans="6:6" ht="33" customHeight="1" x14ac:dyDescent="0.3">
      <c r="F173" s="6">
        <v>46194</v>
      </c>
    </row>
    <row r="174" spans="6:6" ht="33" customHeight="1" x14ac:dyDescent="0.3">
      <c r="F174" s="6">
        <v>46195</v>
      </c>
    </row>
    <row r="175" spans="6:6" ht="33" customHeight="1" x14ac:dyDescent="0.3">
      <c r="F175" s="6">
        <v>46196</v>
      </c>
    </row>
    <row r="176" spans="6:6" ht="33" customHeight="1" x14ac:dyDescent="0.3">
      <c r="F176" s="6">
        <v>46197</v>
      </c>
    </row>
    <row r="177" spans="6:6" ht="33" customHeight="1" x14ac:dyDescent="0.3">
      <c r="F177" s="6">
        <v>46198</v>
      </c>
    </row>
    <row r="178" spans="6:6" ht="33" customHeight="1" x14ac:dyDescent="0.3">
      <c r="F178" s="6">
        <v>46199</v>
      </c>
    </row>
    <row r="179" spans="6:6" ht="33" customHeight="1" x14ac:dyDescent="0.3">
      <c r="F179" s="6">
        <v>46200</v>
      </c>
    </row>
    <row r="180" spans="6:6" ht="33" customHeight="1" x14ac:dyDescent="0.3">
      <c r="F180" s="6">
        <v>46201</v>
      </c>
    </row>
    <row r="181" spans="6:6" ht="33" customHeight="1" x14ac:dyDescent="0.3">
      <c r="F181" s="6">
        <v>46202</v>
      </c>
    </row>
    <row r="182" spans="6:6" ht="33" customHeight="1" x14ac:dyDescent="0.3">
      <c r="F182" s="6">
        <v>46203</v>
      </c>
    </row>
    <row r="183" spans="6:6" ht="33" customHeight="1" x14ac:dyDescent="0.3">
      <c r="F183" s="6">
        <v>46204</v>
      </c>
    </row>
    <row r="184" spans="6:6" ht="33" customHeight="1" x14ac:dyDescent="0.3">
      <c r="F184" s="6">
        <v>46205</v>
      </c>
    </row>
    <row r="185" spans="6:6" ht="33" customHeight="1" x14ac:dyDescent="0.3">
      <c r="F185" s="6">
        <v>46206</v>
      </c>
    </row>
    <row r="186" spans="6:6" ht="33" customHeight="1" x14ac:dyDescent="0.3">
      <c r="F186" s="6">
        <v>46207</v>
      </c>
    </row>
    <row r="187" spans="6:6" ht="33" customHeight="1" x14ac:dyDescent="0.3">
      <c r="F187" s="6">
        <v>46208</v>
      </c>
    </row>
    <row r="188" spans="6:6" ht="33" customHeight="1" x14ac:dyDescent="0.3">
      <c r="F188" s="6">
        <v>46209</v>
      </c>
    </row>
    <row r="189" spans="6:6" ht="33" customHeight="1" x14ac:dyDescent="0.3">
      <c r="F189" s="6">
        <v>46210</v>
      </c>
    </row>
    <row r="190" spans="6:6" ht="33" customHeight="1" x14ac:dyDescent="0.3">
      <c r="F190" s="6">
        <v>46211</v>
      </c>
    </row>
    <row r="191" spans="6:6" ht="33" customHeight="1" x14ac:dyDescent="0.3">
      <c r="F191" s="6">
        <v>46212</v>
      </c>
    </row>
    <row r="192" spans="6:6" ht="33" customHeight="1" x14ac:dyDescent="0.3">
      <c r="F192" s="6">
        <v>46213</v>
      </c>
    </row>
    <row r="193" spans="6:6" ht="33" customHeight="1" x14ac:dyDescent="0.3">
      <c r="F193" s="6">
        <v>46214</v>
      </c>
    </row>
    <row r="194" spans="6:6" ht="33" customHeight="1" x14ac:dyDescent="0.3">
      <c r="F194" s="6">
        <v>46215</v>
      </c>
    </row>
    <row r="195" spans="6:6" ht="33" customHeight="1" x14ac:dyDescent="0.3">
      <c r="F195" s="6">
        <v>46216</v>
      </c>
    </row>
    <row r="196" spans="6:6" ht="33" customHeight="1" x14ac:dyDescent="0.3">
      <c r="F196" s="6">
        <v>46217</v>
      </c>
    </row>
    <row r="197" spans="6:6" ht="33" customHeight="1" x14ac:dyDescent="0.3">
      <c r="F197" s="6">
        <v>46218</v>
      </c>
    </row>
    <row r="198" spans="6:6" ht="33" customHeight="1" x14ac:dyDescent="0.3">
      <c r="F198" s="6">
        <v>46219</v>
      </c>
    </row>
    <row r="199" spans="6:6" ht="33" customHeight="1" x14ac:dyDescent="0.3">
      <c r="F199" s="6">
        <v>46220</v>
      </c>
    </row>
    <row r="200" spans="6:6" ht="33" customHeight="1" x14ac:dyDescent="0.3">
      <c r="F200" s="6">
        <v>46221</v>
      </c>
    </row>
    <row r="201" spans="6:6" ht="33" customHeight="1" x14ac:dyDescent="0.3">
      <c r="F201" s="6">
        <v>46222</v>
      </c>
    </row>
    <row r="202" spans="6:6" ht="33" customHeight="1" x14ac:dyDescent="0.3">
      <c r="F202" s="6">
        <v>46223</v>
      </c>
    </row>
    <row r="203" spans="6:6" ht="33" customHeight="1" x14ac:dyDescent="0.3">
      <c r="F203" s="6">
        <v>46224</v>
      </c>
    </row>
    <row r="204" spans="6:6" ht="33" customHeight="1" x14ac:dyDescent="0.3">
      <c r="F204" s="6">
        <v>46225</v>
      </c>
    </row>
    <row r="205" spans="6:6" ht="33" customHeight="1" x14ac:dyDescent="0.3">
      <c r="F205" s="6">
        <v>46226</v>
      </c>
    </row>
    <row r="206" spans="6:6" ht="33" customHeight="1" x14ac:dyDescent="0.3">
      <c r="F206" s="6">
        <v>46227</v>
      </c>
    </row>
    <row r="207" spans="6:6" ht="33" customHeight="1" x14ac:dyDescent="0.3">
      <c r="F207" s="6">
        <v>46228</v>
      </c>
    </row>
    <row r="208" spans="6:6" ht="33" customHeight="1" x14ac:dyDescent="0.3">
      <c r="F208" s="6">
        <v>46229</v>
      </c>
    </row>
    <row r="209" spans="6:6" ht="33" customHeight="1" x14ac:dyDescent="0.3">
      <c r="F209" s="6">
        <v>46230</v>
      </c>
    </row>
    <row r="210" spans="6:6" ht="33" customHeight="1" x14ac:dyDescent="0.3">
      <c r="F210" s="6">
        <v>46231</v>
      </c>
    </row>
    <row r="211" spans="6:6" ht="33" customHeight="1" x14ac:dyDescent="0.3">
      <c r="F211" s="6">
        <v>46232</v>
      </c>
    </row>
    <row r="212" spans="6:6" ht="33" customHeight="1" x14ac:dyDescent="0.3">
      <c r="F212" s="6">
        <v>46233</v>
      </c>
    </row>
    <row r="213" spans="6:6" ht="33" customHeight="1" x14ac:dyDescent="0.3">
      <c r="F213" s="6">
        <v>46234</v>
      </c>
    </row>
    <row r="214" spans="6:6" ht="33" customHeight="1" x14ac:dyDescent="0.3">
      <c r="F214" s="6">
        <v>46235</v>
      </c>
    </row>
    <row r="215" spans="6:6" ht="33" customHeight="1" x14ac:dyDescent="0.3">
      <c r="F215" s="6">
        <v>46236</v>
      </c>
    </row>
    <row r="216" spans="6:6" ht="33" customHeight="1" x14ac:dyDescent="0.3">
      <c r="F216" s="6">
        <v>46237</v>
      </c>
    </row>
    <row r="217" spans="6:6" ht="33" customHeight="1" x14ac:dyDescent="0.3">
      <c r="F217" s="6">
        <v>46238</v>
      </c>
    </row>
    <row r="218" spans="6:6" ht="33" customHeight="1" x14ac:dyDescent="0.3">
      <c r="F218" s="6">
        <v>46239</v>
      </c>
    </row>
    <row r="219" spans="6:6" ht="33" customHeight="1" x14ac:dyDescent="0.3">
      <c r="F219" s="6">
        <v>46240</v>
      </c>
    </row>
    <row r="220" spans="6:6" ht="33" customHeight="1" x14ac:dyDescent="0.3">
      <c r="F220" s="6">
        <v>46241</v>
      </c>
    </row>
    <row r="221" spans="6:6" ht="33" customHeight="1" x14ac:dyDescent="0.3">
      <c r="F221" s="6">
        <v>46242</v>
      </c>
    </row>
    <row r="222" spans="6:6" ht="33" customHeight="1" x14ac:dyDescent="0.3">
      <c r="F222" s="6">
        <v>46243</v>
      </c>
    </row>
    <row r="223" spans="6:6" ht="33" customHeight="1" x14ac:dyDescent="0.3">
      <c r="F223" s="6">
        <v>46244</v>
      </c>
    </row>
    <row r="224" spans="6:6" ht="33" customHeight="1" x14ac:dyDescent="0.3">
      <c r="F224" s="6">
        <v>46245</v>
      </c>
    </row>
    <row r="225" spans="6:6" ht="33" customHeight="1" x14ac:dyDescent="0.3">
      <c r="F225" s="6">
        <v>46246</v>
      </c>
    </row>
    <row r="226" spans="6:6" ht="33" customHeight="1" x14ac:dyDescent="0.3">
      <c r="F226" s="6">
        <v>46247</v>
      </c>
    </row>
    <row r="227" spans="6:6" ht="33" customHeight="1" x14ac:dyDescent="0.3">
      <c r="F227" s="6">
        <v>46248</v>
      </c>
    </row>
    <row r="228" spans="6:6" ht="33" customHeight="1" x14ac:dyDescent="0.3">
      <c r="F228" s="6">
        <v>46249</v>
      </c>
    </row>
    <row r="229" spans="6:6" ht="33" customHeight="1" x14ac:dyDescent="0.3">
      <c r="F229" s="6">
        <v>46250</v>
      </c>
    </row>
    <row r="230" spans="6:6" ht="33" customHeight="1" x14ac:dyDescent="0.3">
      <c r="F230" s="6">
        <v>46251</v>
      </c>
    </row>
    <row r="231" spans="6:6" ht="33" customHeight="1" x14ac:dyDescent="0.3">
      <c r="F231" s="6">
        <v>46252</v>
      </c>
    </row>
    <row r="232" spans="6:6" ht="33" customHeight="1" x14ac:dyDescent="0.3">
      <c r="F232" s="6">
        <v>46253</v>
      </c>
    </row>
    <row r="233" spans="6:6" ht="33" customHeight="1" x14ac:dyDescent="0.3">
      <c r="F233" s="6">
        <v>46254</v>
      </c>
    </row>
    <row r="234" spans="6:6" ht="33" customHeight="1" x14ac:dyDescent="0.3">
      <c r="F234" s="6">
        <v>46255</v>
      </c>
    </row>
    <row r="235" spans="6:6" ht="33" customHeight="1" x14ac:dyDescent="0.3">
      <c r="F235" s="6">
        <v>46256</v>
      </c>
    </row>
    <row r="236" spans="6:6" ht="33" customHeight="1" x14ac:dyDescent="0.3">
      <c r="F236" s="6">
        <v>46257</v>
      </c>
    </row>
    <row r="237" spans="6:6" ht="33" customHeight="1" x14ac:dyDescent="0.3">
      <c r="F237" s="6">
        <v>46258</v>
      </c>
    </row>
    <row r="238" spans="6:6" ht="33" customHeight="1" x14ac:dyDescent="0.3">
      <c r="F238" s="6">
        <v>46259</v>
      </c>
    </row>
    <row r="239" spans="6:6" ht="33" customHeight="1" x14ac:dyDescent="0.3">
      <c r="F239" s="6">
        <v>46260</v>
      </c>
    </row>
    <row r="240" spans="6:6" ht="33" customHeight="1" x14ac:dyDescent="0.3">
      <c r="F240" s="6">
        <v>46261</v>
      </c>
    </row>
    <row r="241" spans="6:6" ht="33" customHeight="1" x14ac:dyDescent="0.3">
      <c r="F241" s="6">
        <v>46262</v>
      </c>
    </row>
    <row r="242" spans="6:6" ht="33" customHeight="1" x14ac:dyDescent="0.3">
      <c r="F242" s="6">
        <v>46263</v>
      </c>
    </row>
    <row r="243" spans="6:6" ht="33" customHeight="1" x14ac:dyDescent="0.3">
      <c r="F243" s="6">
        <v>46264</v>
      </c>
    </row>
    <row r="244" spans="6:6" ht="33" customHeight="1" x14ac:dyDescent="0.3">
      <c r="F244" s="6">
        <v>46265</v>
      </c>
    </row>
    <row r="245" spans="6:6" ht="33" customHeight="1" x14ac:dyDescent="0.3">
      <c r="F245" s="6">
        <v>46266</v>
      </c>
    </row>
    <row r="246" spans="6:6" ht="33" customHeight="1" x14ac:dyDescent="0.3">
      <c r="F246" s="6">
        <v>46267</v>
      </c>
    </row>
    <row r="247" spans="6:6" ht="33" customHeight="1" x14ac:dyDescent="0.3">
      <c r="F247" s="6">
        <v>46268</v>
      </c>
    </row>
    <row r="248" spans="6:6" ht="33" customHeight="1" x14ac:dyDescent="0.3">
      <c r="F248" s="6">
        <v>46269</v>
      </c>
    </row>
    <row r="249" spans="6:6" ht="33" customHeight="1" x14ac:dyDescent="0.3">
      <c r="F249" s="6">
        <v>46270</v>
      </c>
    </row>
    <row r="250" spans="6:6" ht="33" customHeight="1" x14ac:dyDescent="0.3">
      <c r="F250" s="6">
        <v>46271</v>
      </c>
    </row>
    <row r="251" spans="6:6" ht="33" customHeight="1" x14ac:dyDescent="0.3">
      <c r="F251" s="6">
        <v>46272</v>
      </c>
    </row>
    <row r="252" spans="6:6" ht="33" customHeight="1" x14ac:dyDescent="0.3">
      <c r="F252" s="6">
        <v>46273</v>
      </c>
    </row>
    <row r="253" spans="6:6" ht="33" customHeight="1" x14ac:dyDescent="0.3">
      <c r="F253" s="6">
        <v>46274</v>
      </c>
    </row>
    <row r="254" spans="6:6" ht="33" customHeight="1" x14ac:dyDescent="0.3">
      <c r="F254" s="6">
        <v>46275</v>
      </c>
    </row>
    <row r="255" spans="6:6" ht="33" customHeight="1" x14ac:dyDescent="0.3">
      <c r="F255" s="6">
        <v>46276</v>
      </c>
    </row>
    <row r="256" spans="6:6" ht="33" customHeight="1" x14ac:dyDescent="0.3">
      <c r="F256" s="6">
        <v>46277</v>
      </c>
    </row>
    <row r="257" spans="6:6" ht="33" customHeight="1" x14ac:dyDescent="0.3">
      <c r="F257" s="6">
        <v>46278</v>
      </c>
    </row>
    <row r="258" spans="6:6" ht="33" customHeight="1" x14ac:dyDescent="0.3">
      <c r="F258" s="6">
        <v>46279</v>
      </c>
    </row>
    <row r="259" spans="6:6" ht="33" customHeight="1" x14ac:dyDescent="0.3">
      <c r="F259" s="6">
        <v>46280</v>
      </c>
    </row>
    <row r="260" spans="6:6" ht="33" customHeight="1" x14ac:dyDescent="0.3">
      <c r="F260" s="6">
        <v>46281</v>
      </c>
    </row>
    <row r="261" spans="6:6" ht="33" customHeight="1" x14ac:dyDescent="0.3">
      <c r="F261" s="6">
        <v>46282</v>
      </c>
    </row>
    <row r="262" spans="6:6" ht="33" customHeight="1" x14ac:dyDescent="0.3">
      <c r="F262" s="6">
        <v>46283</v>
      </c>
    </row>
    <row r="263" spans="6:6" ht="33" customHeight="1" x14ac:dyDescent="0.3">
      <c r="F263" s="6">
        <v>46284</v>
      </c>
    </row>
    <row r="264" spans="6:6" ht="33" customHeight="1" x14ac:dyDescent="0.3">
      <c r="F264" s="6">
        <v>46285</v>
      </c>
    </row>
    <row r="265" spans="6:6" ht="33" customHeight="1" x14ac:dyDescent="0.3">
      <c r="F265" s="6">
        <v>46286</v>
      </c>
    </row>
    <row r="266" spans="6:6" ht="33" customHeight="1" x14ac:dyDescent="0.3">
      <c r="F266" s="6">
        <v>46287</v>
      </c>
    </row>
    <row r="267" spans="6:6" ht="33" customHeight="1" x14ac:dyDescent="0.3">
      <c r="F267" s="6">
        <v>46288</v>
      </c>
    </row>
    <row r="268" spans="6:6" ht="33" customHeight="1" x14ac:dyDescent="0.3">
      <c r="F268" s="6">
        <v>46289</v>
      </c>
    </row>
    <row r="269" spans="6:6" ht="33" customHeight="1" x14ac:dyDescent="0.3">
      <c r="F269" s="6">
        <v>46290</v>
      </c>
    </row>
    <row r="270" spans="6:6" ht="33" customHeight="1" x14ac:dyDescent="0.3">
      <c r="F270" s="6">
        <v>46291</v>
      </c>
    </row>
    <row r="271" spans="6:6" ht="33" customHeight="1" x14ac:dyDescent="0.3">
      <c r="F271" s="6">
        <v>46292</v>
      </c>
    </row>
    <row r="272" spans="6:6" ht="33" customHeight="1" x14ac:dyDescent="0.3">
      <c r="F272" s="6">
        <v>46293</v>
      </c>
    </row>
    <row r="273" spans="6:6" ht="33" customHeight="1" x14ac:dyDescent="0.3">
      <c r="F273" s="6">
        <v>46294</v>
      </c>
    </row>
    <row r="274" spans="6:6" ht="33" customHeight="1" x14ac:dyDescent="0.3">
      <c r="F274" s="6">
        <v>46295</v>
      </c>
    </row>
    <row r="275" spans="6:6" ht="33" customHeight="1" x14ac:dyDescent="0.3">
      <c r="F275" s="6">
        <v>46296</v>
      </c>
    </row>
    <row r="276" spans="6:6" ht="33" customHeight="1" x14ac:dyDescent="0.3">
      <c r="F276" s="6">
        <v>46297</v>
      </c>
    </row>
    <row r="277" spans="6:6" ht="33" customHeight="1" x14ac:dyDescent="0.3">
      <c r="F277" s="6">
        <v>46298</v>
      </c>
    </row>
    <row r="278" spans="6:6" ht="33" customHeight="1" x14ac:dyDescent="0.3">
      <c r="F278" s="6">
        <v>46299</v>
      </c>
    </row>
    <row r="279" spans="6:6" ht="33" customHeight="1" x14ac:dyDescent="0.3">
      <c r="F279" s="6">
        <v>46300</v>
      </c>
    </row>
    <row r="280" spans="6:6" ht="33" customHeight="1" x14ac:dyDescent="0.3">
      <c r="F280" s="6">
        <v>46301</v>
      </c>
    </row>
    <row r="281" spans="6:6" ht="33" customHeight="1" x14ac:dyDescent="0.3">
      <c r="F281" s="6">
        <v>46302</v>
      </c>
    </row>
    <row r="282" spans="6:6" ht="33" customHeight="1" x14ac:dyDescent="0.3">
      <c r="F282" s="6">
        <v>46303</v>
      </c>
    </row>
    <row r="283" spans="6:6" ht="33" customHeight="1" x14ac:dyDescent="0.3">
      <c r="F283" s="6">
        <v>46304</v>
      </c>
    </row>
    <row r="284" spans="6:6" ht="33" customHeight="1" x14ac:dyDescent="0.3">
      <c r="F284" s="6">
        <v>46305</v>
      </c>
    </row>
    <row r="285" spans="6:6" ht="33" customHeight="1" x14ac:dyDescent="0.3">
      <c r="F285" s="6">
        <v>46306</v>
      </c>
    </row>
    <row r="286" spans="6:6" ht="33" customHeight="1" x14ac:dyDescent="0.3">
      <c r="F286" s="6">
        <v>46307</v>
      </c>
    </row>
    <row r="287" spans="6:6" ht="33" customHeight="1" x14ac:dyDescent="0.3">
      <c r="F287" s="6">
        <v>46308</v>
      </c>
    </row>
    <row r="288" spans="6:6" ht="33" customHeight="1" x14ac:dyDescent="0.3">
      <c r="F288" s="6">
        <v>46309</v>
      </c>
    </row>
    <row r="289" spans="6:6" ht="33" customHeight="1" x14ac:dyDescent="0.3">
      <c r="F289" s="6">
        <v>46310</v>
      </c>
    </row>
    <row r="290" spans="6:6" ht="33" customHeight="1" x14ac:dyDescent="0.3">
      <c r="F290" s="6">
        <v>46311</v>
      </c>
    </row>
    <row r="291" spans="6:6" ht="33" customHeight="1" x14ac:dyDescent="0.3">
      <c r="F291" s="6">
        <v>46312</v>
      </c>
    </row>
    <row r="292" spans="6:6" ht="33" customHeight="1" x14ac:dyDescent="0.3">
      <c r="F292" s="6">
        <v>46313</v>
      </c>
    </row>
    <row r="293" spans="6:6" ht="33" customHeight="1" x14ac:dyDescent="0.3">
      <c r="F293" s="6">
        <v>46314</v>
      </c>
    </row>
    <row r="294" spans="6:6" ht="33" customHeight="1" x14ac:dyDescent="0.3">
      <c r="F294" s="6">
        <v>46315</v>
      </c>
    </row>
    <row r="295" spans="6:6" ht="33" customHeight="1" x14ac:dyDescent="0.3">
      <c r="F295" s="6">
        <v>46316</v>
      </c>
    </row>
    <row r="296" spans="6:6" ht="33" customHeight="1" x14ac:dyDescent="0.3">
      <c r="F296" s="6">
        <v>46317</v>
      </c>
    </row>
    <row r="297" spans="6:6" ht="33" customHeight="1" x14ac:dyDescent="0.3">
      <c r="F297" s="6">
        <v>46318</v>
      </c>
    </row>
    <row r="298" spans="6:6" ht="33" customHeight="1" x14ac:dyDescent="0.3">
      <c r="F298" s="6">
        <v>46319</v>
      </c>
    </row>
    <row r="299" spans="6:6" ht="33" customHeight="1" x14ac:dyDescent="0.3">
      <c r="F299" s="6">
        <v>46320</v>
      </c>
    </row>
    <row r="300" spans="6:6" ht="33" customHeight="1" x14ac:dyDescent="0.3">
      <c r="F300" s="6">
        <v>46321</v>
      </c>
    </row>
    <row r="301" spans="6:6" ht="33" customHeight="1" x14ac:dyDescent="0.3">
      <c r="F301" s="6">
        <v>46322</v>
      </c>
    </row>
    <row r="302" spans="6:6" ht="33" customHeight="1" x14ac:dyDescent="0.3">
      <c r="F302" s="6">
        <v>46323</v>
      </c>
    </row>
    <row r="303" spans="6:6" ht="33" customHeight="1" x14ac:dyDescent="0.3">
      <c r="F303" s="6">
        <v>46324</v>
      </c>
    </row>
    <row r="304" spans="6:6" ht="33" customHeight="1" x14ac:dyDescent="0.3">
      <c r="F304" s="6">
        <v>46325</v>
      </c>
    </row>
    <row r="305" spans="6:6" ht="33" customHeight="1" x14ac:dyDescent="0.3">
      <c r="F305" s="6">
        <v>46326</v>
      </c>
    </row>
    <row r="306" spans="6:6" ht="33" customHeight="1" x14ac:dyDescent="0.3">
      <c r="F306" s="6">
        <v>46327</v>
      </c>
    </row>
    <row r="307" spans="6:6" ht="33" customHeight="1" x14ac:dyDescent="0.3">
      <c r="F307" s="6">
        <v>46328</v>
      </c>
    </row>
    <row r="308" spans="6:6" ht="33" customHeight="1" x14ac:dyDescent="0.3">
      <c r="F308" s="6">
        <v>46329</v>
      </c>
    </row>
    <row r="309" spans="6:6" ht="33" customHeight="1" x14ac:dyDescent="0.3">
      <c r="F309" s="6">
        <v>46330</v>
      </c>
    </row>
    <row r="310" spans="6:6" ht="33" customHeight="1" x14ac:dyDescent="0.3">
      <c r="F310" s="6">
        <v>46331</v>
      </c>
    </row>
    <row r="311" spans="6:6" ht="33" customHeight="1" x14ac:dyDescent="0.3">
      <c r="F311" s="6">
        <v>46332</v>
      </c>
    </row>
    <row r="312" spans="6:6" ht="33" customHeight="1" x14ac:dyDescent="0.3">
      <c r="F312" s="6">
        <v>46333</v>
      </c>
    </row>
    <row r="313" spans="6:6" ht="33" customHeight="1" x14ac:dyDescent="0.3">
      <c r="F313" s="6">
        <v>46334</v>
      </c>
    </row>
    <row r="314" spans="6:6" ht="33" customHeight="1" x14ac:dyDescent="0.3">
      <c r="F314" s="6">
        <v>46335</v>
      </c>
    </row>
    <row r="315" spans="6:6" ht="33" customHeight="1" x14ac:dyDescent="0.3">
      <c r="F315" s="6">
        <v>46336</v>
      </c>
    </row>
    <row r="316" spans="6:6" ht="33" customHeight="1" x14ac:dyDescent="0.3">
      <c r="F316" s="6">
        <v>46337</v>
      </c>
    </row>
    <row r="317" spans="6:6" ht="33" customHeight="1" x14ac:dyDescent="0.3">
      <c r="F317" s="6">
        <v>46338</v>
      </c>
    </row>
    <row r="318" spans="6:6" ht="33" customHeight="1" x14ac:dyDescent="0.3">
      <c r="F318" s="6">
        <v>46339</v>
      </c>
    </row>
    <row r="319" spans="6:6" ht="33" customHeight="1" x14ac:dyDescent="0.3">
      <c r="F319" s="6">
        <v>46340</v>
      </c>
    </row>
    <row r="320" spans="6:6" ht="33" customHeight="1" x14ac:dyDescent="0.3">
      <c r="F320" s="6">
        <v>46341</v>
      </c>
    </row>
    <row r="321" spans="6:6" ht="33" customHeight="1" x14ac:dyDescent="0.3">
      <c r="F321" s="6">
        <v>46342</v>
      </c>
    </row>
    <row r="322" spans="6:6" ht="33" customHeight="1" x14ac:dyDescent="0.3">
      <c r="F322" s="6">
        <v>46343</v>
      </c>
    </row>
    <row r="323" spans="6:6" ht="33" customHeight="1" x14ac:dyDescent="0.3">
      <c r="F323" s="6">
        <v>46344</v>
      </c>
    </row>
    <row r="324" spans="6:6" ht="33" customHeight="1" x14ac:dyDescent="0.3">
      <c r="F324" s="6">
        <v>46345</v>
      </c>
    </row>
    <row r="325" spans="6:6" ht="33" customHeight="1" x14ac:dyDescent="0.3">
      <c r="F325" s="6">
        <v>46346</v>
      </c>
    </row>
    <row r="326" spans="6:6" ht="33" customHeight="1" x14ac:dyDescent="0.3">
      <c r="F326" s="6">
        <v>46347</v>
      </c>
    </row>
    <row r="327" spans="6:6" ht="33" customHeight="1" x14ac:dyDescent="0.3">
      <c r="F327" s="6">
        <v>46348</v>
      </c>
    </row>
    <row r="328" spans="6:6" ht="33" customHeight="1" x14ac:dyDescent="0.3">
      <c r="F328" s="6">
        <v>46349</v>
      </c>
    </row>
    <row r="329" spans="6:6" ht="33" customHeight="1" x14ac:dyDescent="0.3">
      <c r="F329" s="6">
        <v>46350</v>
      </c>
    </row>
    <row r="330" spans="6:6" ht="33" customHeight="1" x14ac:dyDescent="0.3">
      <c r="F330" s="6">
        <v>46351</v>
      </c>
    </row>
    <row r="331" spans="6:6" ht="33" customHeight="1" x14ac:dyDescent="0.3">
      <c r="F331" s="6">
        <v>46352</v>
      </c>
    </row>
    <row r="332" spans="6:6" ht="33" customHeight="1" x14ac:dyDescent="0.3">
      <c r="F332" s="6">
        <v>46353</v>
      </c>
    </row>
    <row r="333" spans="6:6" ht="33" customHeight="1" x14ac:dyDescent="0.3">
      <c r="F333" s="6">
        <v>46354</v>
      </c>
    </row>
    <row r="334" spans="6:6" ht="33" customHeight="1" x14ac:dyDescent="0.3">
      <c r="F334" s="6">
        <v>46355</v>
      </c>
    </row>
    <row r="335" spans="6:6" ht="33" customHeight="1" x14ac:dyDescent="0.3">
      <c r="F335" s="6">
        <v>46356</v>
      </c>
    </row>
    <row r="336" spans="6:6" ht="33" customHeight="1" x14ac:dyDescent="0.3">
      <c r="F336" s="6">
        <v>46357</v>
      </c>
    </row>
    <row r="337" spans="6:6" ht="33" customHeight="1" x14ac:dyDescent="0.3">
      <c r="F337" s="6">
        <v>46358</v>
      </c>
    </row>
    <row r="338" spans="6:6" ht="33" customHeight="1" x14ac:dyDescent="0.3">
      <c r="F338" s="6">
        <v>46359</v>
      </c>
    </row>
    <row r="339" spans="6:6" ht="33" customHeight="1" x14ac:dyDescent="0.3">
      <c r="F339" s="6">
        <v>46360</v>
      </c>
    </row>
    <row r="340" spans="6:6" ht="33" customHeight="1" x14ac:dyDescent="0.3">
      <c r="F340" s="6">
        <v>46361</v>
      </c>
    </row>
    <row r="341" spans="6:6" ht="33" customHeight="1" x14ac:dyDescent="0.3">
      <c r="F341" s="6">
        <v>46362</v>
      </c>
    </row>
    <row r="342" spans="6:6" ht="33" customHeight="1" x14ac:dyDescent="0.3">
      <c r="F342" s="6">
        <v>46363</v>
      </c>
    </row>
    <row r="343" spans="6:6" ht="33" customHeight="1" x14ac:dyDescent="0.3">
      <c r="F343" s="6">
        <v>46364</v>
      </c>
    </row>
    <row r="344" spans="6:6" ht="33" customHeight="1" x14ac:dyDescent="0.3">
      <c r="F344" s="6">
        <v>46365</v>
      </c>
    </row>
    <row r="345" spans="6:6" ht="33" customHeight="1" x14ac:dyDescent="0.3">
      <c r="F345" s="6">
        <v>46366</v>
      </c>
    </row>
    <row r="346" spans="6:6" ht="33" customHeight="1" x14ac:dyDescent="0.3">
      <c r="F346" s="6">
        <v>46367</v>
      </c>
    </row>
    <row r="347" spans="6:6" ht="33" customHeight="1" x14ac:dyDescent="0.3">
      <c r="F347" s="6">
        <v>46368</v>
      </c>
    </row>
    <row r="348" spans="6:6" ht="33" customHeight="1" x14ac:dyDescent="0.3">
      <c r="F348" s="6">
        <v>46369</v>
      </c>
    </row>
    <row r="349" spans="6:6" ht="33" customHeight="1" x14ac:dyDescent="0.3">
      <c r="F349" s="6">
        <v>46370</v>
      </c>
    </row>
    <row r="350" spans="6:6" ht="33" customHeight="1" x14ac:dyDescent="0.3">
      <c r="F350" s="6">
        <v>46371</v>
      </c>
    </row>
    <row r="351" spans="6:6" ht="33" customHeight="1" x14ac:dyDescent="0.3">
      <c r="F351" s="6">
        <v>46372</v>
      </c>
    </row>
    <row r="352" spans="6:6" ht="33" customHeight="1" x14ac:dyDescent="0.3">
      <c r="F352" s="6">
        <v>46373</v>
      </c>
    </row>
    <row r="353" spans="6:20" ht="33" customHeight="1" x14ac:dyDescent="0.3">
      <c r="F353" s="6">
        <v>46374</v>
      </c>
    </row>
    <row r="354" spans="6:20" ht="33" customHeight="1" x14ac:dyDescent="0.3">
      <c r="F354" s="6">
        <v>46375</v>
      </c>
    </row>
    <row r="355" spans="6:20" ht="33" customHeight="1" x14ac:dyDescent="0.3">
      <c r="F355" s="6">
        <v>46376</v>
      </c>
    </row>
    <row r="356" spans="6:20" ht="33" customHeight="1" x14ac:dyDescent="0.3">
      <c r="F356" s="6">
        <v>46377</v>
      </c>
    </row>
    <row r="357" spans="6:20" ht="33" customHeight="1" x14ac:dyDescent="0.3">
      <c r="F357" s="6">
        <v>46378</v>
      </c>
    </row>
    <row r="358" spans="6:20" ht="33" customHeight="1" x14ac:dyDescent="0.3">
      <c r="F358" s="6">
        <v>46379</v>
      </c>
    </row>
    <row r="359" spans="6:20" ht="33" customHeight="1" x14ac:dyDescent="0.3">
      <c r="F359" s="6">
        <v>46380</v>
      </c>
    </row>
    <row r="360" spans="6:20" ht="33" customHeight="1" x14ac:dyDescent="0.3">
      <c r="F360" s="6">
        <v>46381</v>
      </c>
    </row>
    <row r="361" spans="6:20" ht="33" customHeight="1" x14ac:dyDescent="0.3">
      <c r="F361" s="6">
        <v>46382</v>
      </c>
    </row>
    <row r="362" spans="6:20" ht="33" customHeight="1" x14ac:dyDescent="0.3">
      <c r="F362" s="6">
        <v>46383</v>
      </c>
    </row>
    <row r="363" spans="6:20" ht="33" customHeight="1" x14ac:dyDescent="0.3">
      <c r="F363" s="6">
        <v>46384</v>
      </c>
    </row>
    <row r="364" spans="6:20" ht="33" customHeight="1" x14ac:dyDescent="0.3">
      <c r="F364" s="6">
        <v>46385</v>
      </c>
    </row>
    <row r="365" spans="6:20" ht="33" customHeight="1" x14ac:dyDescent="0.3">
      <c r="F365" s="6">
        <v>46386</v>
      </c>
    </row>
    <row r="366" spans="6:20" ht="33" customHeight="1" x14ac:dyDescent="0.3">
      <c r="F366" s="6">
        <v>46387</v>
      </c>
    </row>
    <row r="367" spans="6:20" ht="33" customHeight="1" x14ac:dyDescent="0.45">
      <c r="F367" s="3" t="s">
        <v>12</v>
      </c>
      <c r="G367" s="4">
        <f>SUM(G2:G366)</f>
        <v>12128.68</v>
      </c>
      <c r="H367" s="4">
        <f>SUM(H2:H366)</f>
        <v>1</v>
      </c>
      <c r="I367" s="4">
        <f>SUM(I2:I366)</f>
        <v>12032.65</v>
      </c>
      <c r="J367" s="4">
        <f>SUM(J2:J366)</f>
        <v>0</v>
      </c>
      <c r="K367" s="4">
        <f>SUM(K2:K366)</f>
        <v>0</v>
      </c>
      <c r="L367" s="4">
        <f t="shared" ref="L367:T367" si="1">SUM(L2:L366)</f>
        <v>12947.92</v>
      </c>
      <c r="M367" s="4">
        <f t="shared" si="1"/>
        <v>0</v>
      </c>
      <c r="N367" s="4">
        <f t="shared" si="1"/>
        <v>1951</v>
      </c>
      <c r="O367" s="4">
        <f t="shared" si="1"/>
        <v>3040.98</v>
      </c>
      <c r="P367" s="4">
        <f t="shared" si="1"/>
        <v>0</v>
      </c>
      <c r="Q367" s="4">
        <f t="shared" si="1"/>
        <v>0</v>
      </c>
      <c r="R367" s="4">
        <f t="shared" si="1"/>
        <v>0</v>
      </c>
      <c r="S367" s="4">
        <f t="shared" si="1"/>
        <v>0</v>
      </c>
      <c r="T367" s="4">
        <f t="shared" si="1"/>
        <v>0</v>
      </c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7"/>
  <sheetViews>
    <sheetView zoomScale="85" zoomScaleNormal="85" workbookViewId="0">
      <selection activeCell="C7" sqref="C7"/>
    </sheetView>
  </sheetViews>
  <sheetFormatPr defaultRowHeight="14.4" x14ac:dyDescent="0.3"/>
  <cols>
    <col min="1" max="1" width="74.44140625" customWidth="1"/>
    <col min="2" max="2" width="24.5546875" customWidth="1"/>
    <col min="3" max="3" width="44.44140625" customWidth="1"/>
    <col min="4" max="4" width="15" bestFit="1" customWidth="1"/>
    <col min="6" max="6" width="16" style="38" customWidth="1"/>
    <col min="7" max="8" width="26" customWidth="1"/>
    <col min="9" max="9" width="24.5546875" customWidth="1"/>
    <col min="10" max="18" width="18.6640625" customWidth="1"/>
  </cols>
  <sheetData>
    <row r="1" spans="1:19" ht="33" customHeight="1" x14ac:dyDescent="0.5">
      <c r="A1" s="10" t="s">
        <v>5</v>
      </c>
      <c r="B1" s="23">
        <f>ILKADIM!B1 + KAVAK!B1 + ATAKUM!B1+HEYKEL!B1</f>
        <v>155932.01</v>
      </c>
      <c r="F1" s="35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8"/>
    </row>
    <row r="2" spans="1:19" ht="33" customHeight="1" x14ac:dyDescent="0.5">
      <c r="A2" s="11" t="s">
        <v>4</v>
      </c>
      <c r="B2" s="24">
        <f>ILKADIM!B2+KAVAK!B2+ATAKUM!B2+HEYKEL!B2</f>
        <v>129525.68</v>
      </c>
      <c r="F2" s="36"/>
    </row>
    <row r="3" spans="1:19" ht="33" customHeight="1" x14ac:dyDescent="0.5">
      <c r="A3" s="8" t="s">
        <v>19</v>
      </c>
      <c r="B3" s="25">
        <f>ILKADIM!B3 + KAVAK!B3 + ATAKUM!B3+HEYKEL!B3</f>
        <v>86031.12</v>
      </c>
      <c r="F3" s="36"/>
    </row>
    <row r="4" spans="1:19" ht="33" customHeight="1" x14ac:dyDescent="0.5">
      <c r="A4" s="13" t="s">
        <v>0</v>
      </c>
      <c r="B4" s="26">
        <f>ILKADIM!B4 + KAVAK!B4 + ATAKUM!B4+HEYKEL!B4</f>
        <v>9</v>
      </c>
      <c r="F4" s="36"/>
    </row>
    <row r="5" spans="1:19" ht="33" customHeight="1" x14ac:dyDescent="0.5">
      <c r="A5" s="15" t="s">
        <v>1</v>
      </c>
      <c r="B5" s="27">
        <f>ILKADIM!B5 + KAVAK!B5 + ATAKUM!B5+HEYKEL!B5</f>
        <v>2</v>
      </c>
      <c r="F5" s="36"/>
    </row>
    <row r="6" spans="1:19" ht="33" customHeight="1" x14ac:dyDescent="0.5">
      <c r="A6" s="16" t="s">
        <v>20</v>
      </c>
      <c r="B6" s="44">
        <f>IF(B1+B3=0,0,B2/(B1+B3))</f>
        <v>0.53531164024866096</v>
      </c>
      <c r="F6" s="36"/>
    </row>
    <row r="7" spans="1:19" ht="33" customHeight="1" x14ac:dyDescent="0.5">
      <c r="A7" s="18" t="s">
        <v>27</v>
      </c>
      <c r="B7" s="27" t="str">
        <f>IF(B6&lt;=0.699, "✅ Uygun", "❌ Aşıldı")</f>
        <v>✅ Uygun</v>
      </c>
      <c r="F7" s="36"/>
    </row>
    <row r="8" spans="1:19" ht="33" customHeight="1" x14ac:dyDescent="0.5">
      <c r="A8" s="19" t="s">
        <v>22</v>
      </c>
      <c r="B8" s="26">
        <f>B4*0.3</f>
        <v>2.6999999999999997</v>
      </c>
      <c r="F8" s="36"/>
    </row>
    <row r="9" spans="1:19" ht="33" customHeight="1" x14ac:dyDescent="0.5">
      <c r="A9" s="14" t="s">
        <v>2</v>
      </c>
      <c r="B9" s="27" t="str">
        <f>IF(B5&gt;=B8, "✅ Uygun", "❌ Yetersiz")</f>
        <v>❌ Yetersiz</v>
      </c>
      <c r="F9" s="36"/>
    </row>
    <row r="10" spans="1:19" ht="33" customHeight="1" x14ac:dyDescent="0.5">
      <c r="A10" s="12" t="s">
        <v>26</v>
      </c>
      <c r="B10" s="28">
        <f>IF(B1=0,0,B1/0.799 - B1)-B3</f>
        <v>-46804.16879849814</v>
      </c>
      <c r="F10" s="36"/>
    </row>
    <row r="11" spans="1:19" ht="33" customHeight="1" x14ac:dyDescent="0.5">
      <c r="A11" s="21" t="s">
        <v>21</v>
      </c>
      <c r="B11" s="43">
        <f>IF(SUM(B1,B3)=0, 0, B1/SUM(B1,B3))</f>
        <v>0.64444533346878097</v>
      </c>
      <c r="F11" s="36"/>
    </row>
    <row r="12" spans="1:19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36"/>
    </row>
    <row r="13" spans="1:19" ht="33" customHeight="1" x14ac:dyDescent="0.5">
      <c r="A13" s="17" t="s">
        <v>25</v>
      </c>
      <c r="B13" s="30">
        <f>IF(B2=0,0,B2/0.699 - B2)-B3</f>
        <v>-30255.39799713876</v>
      </c>
      <c r="C13" s="1"/>
      <c r="F13" s="36"/>
    </row>
    <row r="14" spans="1:19" ht="33" customHeight="1" x14ac:dyDescent="0.5">
      <c r="A14" s="9" t="s">
        <v>23</v>
      </c>
      <c r="B14" s="41">
        <f>(ILKADIM!B14 + KAVAK!B14 + ATAKUM!B14+HEYKEL!B14)/4</f>
        <v>0.27697520264018499</v>
      </c>
      <c r="F14" s="36"/>
    </row>
    <row r="15" spans="1:19" ht="33" customHeight="1" x14ac:dyDescent="0.5">
      <c r="A15" s="22" t="s">
        <v>24</v>
      </c>
      <c r="B15" s="27" t="str">
        <f>IF(B14&gt;=0.1,"✅ Uygun","❌ Aşıldı")</f>
        <v>✅ Uygun</v>
      </c>
      <c r="F15" s="36"/>
    </row>
    <row r="16" spans="1:19" ht="33" customHeight="1" x14ac:dyDescent="0.5">
      <c r="A16" s="22" t="s">
        <v>38</v>
      </c>
      <c r="B16" s="25">
        <f>(ILKADIM!B16+KAVAK!B16+ATAKUM!B16+HEYKEL!B16)</f>
        <v>37205.780000000006</v>
      </c>
      <c r="F16" s="36"/>
    </row>
    <row r="17" spans="1:6" ht="33" customHeight="1" x14ac:dyDescent="0.3">
      <c r="F17" s="36"/>
    </row>
    <row r="18" spans="1:6" ht="33" customHeight="1" x14ac:dyDescent="0.55000000000000004">
      <c r="A18" s="48" t="s">
        <v>33</v>
      </c>
      <c r="B18" s="49"/>
      <c r="F18" s="36"/>
    </row>
    <row r="19" spans="1:6" ht="33" customHeight="1" x14ac:dyDescent="0.5">
      <c r="A19" s="16" t="s">
        <v>20</v>
      </c>
      <c r="B19" s="31">
        <f>B6</f>
        <v>0.53531164024866096</v>
      </c>
      <c r="F19" s="36"/>
    </row>
    <row r="20" spans="1:6" ht="33" customHeight="1" x14ac:dyDescent="0.5">
      <c r="A20" s="18" t="s">
        <v>27</v>
      </c>
      <c r="B20" s="32" t="str">
        <f>B7</f>
        <v>✅ Uygun</v>
      </c>
      <c r="F20" s="36"/>
    </row>
    <row r="21" spans="1:6" ht="33" customHeight="1" x14ac:dyDescent="0.5">
      <c r="A21" s="17" t="s">
        <v>26</v>
      </c>
      <c r="B21" s="34">
        <f t="shared" ref="B21:B26" si="0">B10</f>
        <v>-46804.16879849814</v>
      </c>
      <c r="F21" s="36"/>
    </row>
    <row r="22" spans="1:6" ht="33" customHeight="1" x14ac:dyDescent="0.5">
      <c r="A22" s="21" t="s">
        <v>21</v>
      </c>
      <c r="B22" s="42">
        <f t="shared" si="0"/>
        <v>0.64444533346878097</v>
      </c>
      <c r="F22" s="36"/>
    </row>
    <row r="23" spans="1:6" ht="33" customHeight="1" x14ac:dyDescent="0.5">
      <c r="A23" s="20" t="s">
        <v>28</v>
      </c>
      <c r="B23" s="33" t="str">
        <f t="shared" si="0"/>
        <v>✅ Uygun</v>
      </c>
      <c r="F23" s="36"/>
    </row>
    <row r="24" spans="1:6" ht="33" customHeight="1" x14ac:dyDescent="0.5">
      <c r="A24" s="17" t="s">
        <v>25</v>
      </c>
      <c r="B24" s="34">
        <f t="shared" si="0"/>
        <v>-30255.39799713876</v>
      </c>
      <c r="F24" s="36"/>
    </row>
    <row r="25" spans="1:6" ht="33" customHeight="1" x14ac:dyDescent="0.5">
      <c r="A25" s="9" t="s">
        <v>23</v>
      </c>
      <c r="B25" s="42">
        <f t="shared" si="0"/>
        <v>0.27697520264018499</v>
      </c>
      <c r="F25" s="36"/>
    </row>
    <row r="26" spans="1:6" ht="33" customHeight="1" x14ac:dyDescent="0.5">
      <c r="A26" s="22" t="s">
        <v>24</v>
      </c>
      <c r="B26" s="32" t="str">
        <f t="shared" si="0"/>
        <v>✅ Uygun</v>
      </c>
      <c r="F26" s="36"/>
    </row>
    <row r="27" spans="1:6" ht="33" customHeight="1" x14ac:dyDescent="0.5">
      <c r="A27" s="14" t="s">
        <v>2</v>
      </c>
      <c r="B27" s="32" t="str">
        <f>B9</f>
        <v>❌ Yetersiz</v>
      </c>
      <c r="F27" s="36"/>
    </row>
    <row r="28" spans="1:6" ht="33" customHeight="1" x14ac:dyDescent="0.3">
      <c r="F28" s="36"/>
    </row>
    <row r="29" spans="1:6" ht="33" customHeight="1" x14ac:dyDescent="0.3">
      <c r="F29" s="36"/>
    </row>
    <row r="30" spans="1:6" ht="33" customHeight="1" x14ac:dyDescent="0.3">
      <c r="F30" s="36"/>
    </row>
    <row r="31" spans="1:6" ht="33" customHeight="1" x14ac:dyDescent="0.3">
      <c r="F31" s="36"/>
    </row>
    <row r="32" spans="1:6" ht="33" customHeight="1" x14ac:dyDescent="0.3">
      <c r="F32" s="36"/>
    </row>
    <row r="33" spans="6:6" ht="33" customHeight="1" x14ac:dyDescent="0.3">
      <c r="F33" s="36"/>
    </row>
    <row r="34" spans="6:6" ht="33" customHeight="1" x14ac:dyDescent="0.3">
      <c r="F34" s="36"/>
    </row>
    <row r="35" spans="6:6" ht="33" customHeight="1" x14ac:dyDescent="0.3">
      <c r="F35" s="36"/>
    </row>
    <row r="36" spans="6:6" ht="33" customHeight="1" x14ac:dyDescent="0.3">
      <c r="F36" s="36"/>
    </row>
    <row r="37" spans="6:6" ht="33" customHeight="1" x14ac:dyDescent="0.3">
      <c r="F37" s="36"/>
    </row>
    <row r="38" spans="6:6" ht="33" customHeight="1" x14ac:dyDescent="0.3">
      <c r="F38" s="36"/>
    </row>
    <row r="39" spans="6:6" ht="33" customHeight="1" x14ac:dyDescent="0.3">
      <c r="F39" s="36"/>
    </row>
    <row r="40" spans="6:6" ht="33" customHeight="1" x14ac:dyDescent="0.3">
      <c r="F40" s="36"/>
    </row>
    <row r="41" spans="6:6" ht="33" customHeight="1" x14ac:dyDescent="0.3">
      <c r="F41" s="36"/>
    </row>
    <row r="42" spans="6:6" ht="33" customHeight="1" x14ac:dyDescent="0.3">
      <c r="F42" s="36"/>
    </row>
    <row r="43" spans="6:6" ht="33" customHeight="1" x14ac:dyDescent="0.3">
      <c r="F43" s="36"/>
    </row>
    <row r="44" spans="6:6" ht="33" customHeight="1" x14ac:dyDescent="0.3">
      <c r="F44" s="36"/>
    </row>
    <row r="45" spans="6:6" ht="33" customHeight="1" x14ac:dyDescent="0.3">
      <c r="F45" s="36"/>
    </row>
    <row r="46" spans="6:6" ht="33" customHeight="1" x14ac:dyDescent="0.3">
      <c r="F46" s="36"/>
    </row>
    <row r="47" spans="6:6" ht="33" customHeight="1" x14ac:dyDescent="0.3">
      <c r="F47" s="36"/>
    </row>
    <row r="48" spans="6:6" ht="33" customHeight="1" x14ac:dyDescent="0.3">
      <c r="F48" s="36"/>
    </row>
    <row r="49" spans="6:6" ht="33" customHeight="1" x14ac:dyDescent="0.3">
      <c r="F49" s="36"/>
    </row>
    <row r="50" spans="6:6" ht="33" customHeight="1" x14ac:dyDescent="0.3">
      <c r="F50" s="36"/>
    </row>
    <row r="51" spans="6:6" ht="33" customHeight="1" x14ac:dyDescent="0.3">
      <c r="F51" s="36"/>
    </row>
    <row r="52" spans="6:6" ht="33" customHeight="1" x14ac:dyDescent="0.3">
      <c r="F52" s="36"/>
    </row>
    <row r="53" spans="6:6" ht="33" customHeight="1" x14ac:dyDescent="0.3">
      <c r="F53" s="36"/>
    </row>
    <row r="54" spans="6:6" ht="33" customHeight="1" x14ac:dyDescent="0.3">
      <c r="F54" s="36"/>
    </row>
    <row r="55" spans="6:6" ht="33" customHeight="1" x14ac:dyDescent="0.3">
      <c r="F55" s="36"/>
    </row>
    <row r="56" spans="6:6" ht="33" customHeight="1" x14ac:dyDescent="0.3">
      <c r="F56" s="36"/>
    </row>
    <row r="57" spans="6:6" ht="33" customHeight="1" x14ac:dyDescent="0.3">
      <c r="F57" s="36"/>
    </row>
    <row r="58" spans="6:6" ht="33" customHeight="1" x14ac:dyDescent="0.3">
      <c r="F58" s="36"/>
    </row>
    <row r="59" spans="6:6" ht="33" customHeight="1" x14ac:dyDescent="0.3">
      <c r="F59" s="36"/>
    </row>
    <row r="60" spans="6:6" ht="33" customHeight="1" x14ac:dyDescent="0.3">
      <c r="F60" s="36"/>
    </row>
    <row r="61" spans="6:6" ht="33" customHeight="1" x14ac:dyDescent="0.3">
      <c r="F61" s="36"/>
    </row>
    <row r="62" spans="6:6" ht="33" customHeight="1" x14ac:dyDescent="0.3">
      <c r="F62" s="36"/>
    </row>
    <row r="63" spans="6:6" ht="33" customHeight="1" x14ac:dyDescent="0.3">
      <c r="F63" s="36"/>
    </row>
    <row r="64" spans="6:6" ht="33" customHeight="1" x14ac:dyDescent="0.3">
      <c r="F64" s="36"/>
    </row>
    <row r="65" spans="6:6" ht="33" customHeight="1" x14ac:dyDescent="0.3">
      <c r="F65" s="36"/>
    </row>
    <row r="66" spans="6:6" ht="33" customHeight="1" x14ac:dyDescent="0.3">
      <c r="F66" s="36"/>
    </row>
    <row r="67" spans="6:6" ht="33" customHeight="1" x14ac:dyDescent="0.3">
      <c r="F67" s="36"/>
    </row>
    <row r="68" spans="6:6" ht="33" customHeight="1" x14ac:dyDescent="0.3">
      <c r="F68" s="36"/>
    </row>
    <row r="69" spans="6:6" ht="33" customHeight="1" x14ac:dyDescent="0.3">
      <c r="F69" s="36"/>
    </row>
    <row r="70" spans="6:6" ht="33" customHeight="1" x14ac:dyDescent="0.3">
      <c r="F70" s="36"/>
    </row>
    <row r="71" spans="6:6" ht="33" customHeight="1" x14ac:dyDescent="0.3">
      <c r="F71" s="36"/>
    </row>
    <row r="72" spans="6:6" ht="33" customHeight="1" x14ac:dyDescent="0.3">
      <c r="F72" s="36"/>
    </row>
    <row r="73" spans="6:6" ht="33" customHeight="1" x14ac:dyDescent="0.3">
      <c r="F73" s="36"/>
    </row>
    <row r="74" spans="6:6" ht="33" customHeight="1" x14ac:dyDescent="0.3">
      <c r="F74" s="36"/>
    </row>
    <row r="75" spans="6:6" ht="33" customHeight="1" x14ac:dyDescent="0.3">
      <c r="F75" s="36"/>
    </row>
    <row r="76" spans="6:6" ht="33" customHeight="1" x14ac:dyDescent="0.3">
      <c r="F76" s="36"/>
    </row>
    <row r="77" spans="6:6" ht="33" customHeight="1" x14ac:dyDescent="0.3">
      <c r="F77" s="36"/>
    </row>
    <row r="78" spans="6:6" ht="33" customHeight="1" x14ac:dyDescent="0.3">
      <c r="F78" s="36"/>
    </row>
    <row r="79" spans="6:6" ht="33" customHeight="1" x14ac:dyDescent="0.3">
      <c r="F79" s="36"/>
    </row>
    <row r="80" spans="6:6" ht="33" customHeight="1" x14ac:dyDescent="0.3">
      <c r="F80" s="36"/>
    </row>
    <row r="81" spans="6:6" ht="33" customHeight="1" x14ac:dyDescent="0.3">
      <c r="F81" s="36"/>
    </row>
    <row r="82" spans="6:6" ht="33" customHeight="1" x14ac:dyDescent="0.3">
      <c r="F82" s="36"/>
    </row>
    <row r="83" spans="6:6" ht="33" customHeight="1" x14ac:dyDescent="0.3">
      <c r="F83" s="36"/>
    </row>
    <row r="84" spans="6:6" ht="33" customHeight="1" x14ac:dyDescent="0.3">
      <c r="F84" s="36"/>
    </row>
    <row r="85" spans="6:6" ht="33" customHeight="1" x14ac:dyDescent="0.3">
      <c r="F85" s="36"/>
    </row>
    <row r="86" spans="6:6" ht="33" customHeight="1" x14ac:dyDescent="0.3">
      <c r="F86" s="36"/>
    </row>
    <row r="87" spans="6:6" ht="33" customHeight="1" x14ac:dyDescent="0.3">
      <c r="F87" s="36"/>
    </row>
    <row r="88" spans="6:6" ht="33" customHeight="1" x14ac:dyDescent="0.3">
      <c r="F88" s="36"/>
    </row>
    <row r="89" spans="6:6" ht="33" customHeight="1" x14ac:dyDescent="0.3">
      <c r="F89" s="36"/>
    </row>
    <row r="90" spans="6:6" ht="33" customHeight="1" x14ac:dyDescent="0.3">
      <c r="F90" s="36"/>
    </row>
    <row r="91" spans="6:6" ht="33" customHeight="1" x14ac:dyDescent="0.3">
      <c r="F91" s="36"/>
    </row>
    <row r="92" spans="6:6" ht="33" customHeight="1" x14ac:dyDescent="0.3">
      <c r="F92" s="36"/>
    </row>
    <row r="93" spans="6:6" ht="33" customHeight="1" x14ac:dyDescent="0.3">
      <c r="F93" s="36"/>
    </row>
    <row r="94" spans="6:6" ht="33" customHeight="1" x14ac:dyDescent="0.3">
      <c r="F94" s="36"/>
    </row>
    <row r="95" spans="6:6" ht="33" customHeight="1" x14ac:dyDescent="0.3">
      <c r="F95" s="36"/>
    </row>
    <row r="96" spans="6:6" ht="33" customHeight="1" x14ac:dyDescent="0.3">
      <c r="F96" s="36"/>
    </row>
    <row r="97" spans="6:6" ht="33" customHeight="1" x14ac:dyDescent="0.3">
      <c r="F97" s="36"/>
    </row>
    <row r="98" spans="6:6" ht="33" customHeight="1" x14ac:dyDescent="0.3">
      <c r="F98" s="36"/>
    </row>
    <row r="99" spans="6:6" ht="33" customHeight="1" x14ac:dyDescent="0.3">
      <c r="F99" s="36"/>
    </row>
    <row r="100" spans="6:6" ht="33" customHeight="1" x14ac:dyDescent="0.3">
      <c r="F100" s="36"/>
    </row>
    <row r="101" spans="6:6" ht="33" customHeight="1" x14ac:dyDescent="0.3">
      <c r="F101" s="36"/>
    </row>
    <row r="102" spans="6:6" ht="33" customHeight="1" x14ac:dyDescent="0.3">
      <c r="F102" s="36"/>
    </row>
    <row r="103" spans="6:6" ht="33" customHeight="1" x14ac:dyDescent="0.3">
      <c r="F103" s="36"/>
    </row>
    <row r="104" spans="6:6" ht="33" customHeight="1" x14ac:dyDescent="0.3">
      <c r="F104" s="36"/>
    </row>
    <row r="105" spans="6:6" ht="33" customHeight="1" x14ac:dyDescent="0.3">
      <c r="F105" s="36"/>
    </row>
    <row r="106" spans="6:6" ht="33" customHeight="1" x14ac:dyDescent="0.3">
      <c r="F106" s="36"/>
    </row>
    <row r="107" spans="6:6" ht="33" customHeight="1" x14ac:dyDescent="0.3">
      <c r="F107" s="36"/>
    </row>
    <row r="108" spans="6:6" ht="33" customHeight="1" x14ac:dyDescent="0.3">
      <c r="F108" s="36"/>
    </row>
    <row r="109" spans="6:6" ht="33" customHeight="1" x14ac:dyDescent="0.3">
      <c r="F109" s="36"/>
    </row>
    <row r="110" spans="6:6" ht="33" customHeight="1" x14ac:dyDescent="0.3">
      <c r="F110" s="36"/>
    </row>
    <row r="111" spans="6:6" ht="33" customHeight="1" x14ac:dyDescent="0.3">
      <c r="F111" s="36"/>
    </row>
    <row r="112" spans="6:6" ht="33" customHeight="1" x14ac:dyDescent="0.3">
      <c r="F112" s="36"/>
    </row>
    <row r="113" spans="6:6" ht="33" customHeight="1" x14ac:dyDescent="0.3">
      <c r="F113" s="36"/>
    </row>
    <row r="114" spans="6:6" ht="33" customHeight="1" x14ac:dyDescent="0.3">
      <c r="F114" s="36"/>
    </row>
    <row r="115" spans="6:6" ht="33" customHeight="1" x14ac:dyDescent="0.3">
      <c r="F115" s="36"/>
    </row>
    <row r="116" spans="6:6" ht="33" customHeight="1" x14ac:dyDescent="0.3">
      <c r="F116" s="36"/>
    </row>
    <row r="117" spans="6:6" ht="33" customHeight="1" x14ac:dyDescent="0.3">
      <c r="F117" s="36"/>
    </row>
    <row r="118" spans="6:6" ht="33" customHeight="1" x14ac:dyDescent="0.3">
      <c r="F118" s="36"/>
    </row>
    <row r="119" spans="6:6" ht="33" customHeight="1" x14ac:dyDescent="0.3">
      <c r="F119" s="36"/>
    </row>
    <row r="120" spans="6:6" ht="33" customHeight="1" x14ac:dyDescent="0.3">
      <c r="F120" s="36"/>
    </row>
    <row r="121" spans="6:6" ht="33" customHeight="1" x14ac:dyDescent="0.3">
      <c r="F121" s="36"/>
    </row>
    <row r="122" spans="6:6" ht="33" customHeight="1" x14ac:dyDescent="0.3">
      <c r="F122" s="36"/>
    </row>
    <row r="123" spans="6:6" ht="33" customHeight="1" x14ac:dyDescent="0.3">
      <c r="F123" s="36"/>
    </row>
    <row r="124" spans="6:6" ht="33" customHeight="1" x14ac:dyDescent="0.3">
      <c r="F124" s="36"/>
    </row>
    <row r="125" spans="6:6" ht="33" customHeight="1" x14ac:dyDescent="0.3">
      <c r="F125" s="36"/>
    </row>
    <row r="126" spans="6:6" ht="33" customHeight="1" x14ac:dyDescent="0.3">
      <c r="F126" s="36"/>
    </row>
    <row r="127" spans="6:6" ht="33" customHeight="1" x14ac:dyDescent="0.3">
      <c r="F127" s="36"/>
    </row>
    <row r="128" spans="6:6" ht="33" customHeight="1" x14ac:dyDescent="0.3">
      <c r="F128" s="36"/>
    </row>
    <row r="129" spans="6:6" ht="33" customHeight="1" x14ac:dyDescent="0.3">
      <c r="F129" s="36"/>
    </row>
    <row r="130" spans="6:6" ht="33" customHeight="1" x14ac:dyDescent="0.3">
      <c r="F130" s="36"/>
    </row>
    <row r="131" spans="6:6" ht="33" customHeight="1" x14ac:dyDescent="0.3">
      <c r="F131" s="36"/>
    </row>
    <row r="132" spans="6:6" ht="33" customHeight="1" x14ac:dyDescent="0.3">
      <c r="F132" s="36"/>
    </row>
    <row r="133" spans="6:6" ht="33" customHeight="1" x14ac:dyDescent="0.3">
      <c r="F133" s="36"/>
    </row>
    <row r="134" spans="6:6" ht="33" customHeight="1" x14ac:dyDescent="0.3">
      <c r="F134" s="36"/>
    </row>
    <row r="135" spans="6:6" ht="33" customHeight="1" x14ac:dyDescent="0.3">
      <c r="F135" s="36"/>
    </row>
    <row r="136" spans="6:6" ht="33" customHeight="1" x14ac:dyDescent="0.3">
      <c r="F136" s="36"/>
    </row>
    <row r="137" spans="6:6" ht="33" customHeight="1" x14ac:dyDescent="0.3">
      <c r="F137" s="36"/>
    </row>
    <row r="138" spans="6:6" ht="33" customHeight="1" x14ac:dyDescent="0.3">
      <c r="F138" s="36"/>
    </row>
    <row r="139" spans="6:6" ht="33" customHeight="1" x14ac:dyDescent="0.3">
      <c r="F139" s="36"/>
    </row>
    <row r="140" spans="6:6" ht="33" customHeight="1" x14ac:dyDescent="0.3">
      <c r="F140" s="36"/>
    </row>
    <row r="141" spans="6:6" ht="33" customHeight="1" x14ac:dyDescent="0.3">
      <c r="F141" s="36"/>
    </row>
    <row r="142" spans="6:6" ht="33" customHeight="1" x14ac:dyDescent="0.3">
      <c r="F142" s="36"/>
    </row>
    <row r="143" spans="6:6" ht="33" customHeight="1" x14ac:dyDescent="0.3">
      <c r="F143" s="36"/>
    </row>
    <row r="144" spans="6:6" ht="33" customHeight="1" x14ac:dyDescent="0.3">
      <c r="F144" s="36"/>
    </row>
    <row r="145" spans="6:6" ht="33" customHeight="1" x14ac:dyDescent="0.3">
      <c r="F145" s="36"/>
    </row>
    <row r="146" spans="6:6" ht="33" customHeight="1" x14ac:dyDescent="0.3">
      <c r="F146" s="36"/>
    </row>
    <row r="147" spans="6:6" ht="33" customHeight="1" x14ac:dyDescent="0.3">
      <c r="F147" s="36"/>
    </row>
    <row r="148" spans="6:6" ht="33" customHeight="1" x14ac:dyDescent="0.3">
      <c r="F148" s="36"/>
    </row>
    <row r="149" spans="6:6" ht="33" customHeight="1" x14ac:dyDescent="0.3">
      <c r="F149" s="36"/>
    </row>
    <row r="150" spans="6:6" ht="33" customHeight="1" x14ac:dyDescent="0.3">
      <c r="F150" s="36"/>
    </row>
    <row r="151" spans="6:6" ht="33" customHeight="1" x14ac:dyDescent="0.3">
      <c r="F151" s="36"/>
    </row>
    <row r="152" spans="6:6" ht="33" customHeight="1" x14ac:dyDescent="0.3">
      <c r="F152" s="36"/>
    </row>
    <row r="153" spans="6:6" ht="33" customHeight="1" x14ac:dyDescent="0.3">
      <c r="F153" s="36"/>
    </row>
    <row r="154" spans="6:6" ht="33" customHeight="1" x14ac:dyDescent="0.3">
      <c r="F154" s="36"/>
    </row>
    <row r="155" spans="6:6" ht="33" customHeight="1" x14ac:dyDescent="0.3">
      <c r="F155" s="36"/>
    </row>
    <row r="156" spans="6:6" ht="33" customHeight="1" x14ac:dyDescent="0.3">
      <c r="F156" s="36"/>
    </row>
    <row r="157" spans="6:6" ht="33" customHeight="1" x14ac:dyDescent="0.3">
      <c r="F157" s="36"/>
    </row>
    <row r="158" spans="6:6" ht="33" customHeight="1" x14ac:dyDescent="0.3">
      <c r="F158" s="36"/>
    </row>
    <row r="159" spans="6:6" ht="33" customHeight="1" x14ac:dyDescent="0.3">
      <c r="F159" s="36"/>
    </row>
    <row r="160" spans="6:6" ht="33" customHeight="1" x14ac:dyDescent="0.3">
      <c r="F160" s="36"/>
    </row>
    <row r="161" spans="6:6" ht="33" customHeight="1" x14ac:dyDescent="0.3">
      <c r="F161" s="36"/>
    </row>
    <row r="162" spans="6:6" ht="33" customHeight="1" x14ac:dyDescent="0.3">
      <c r="F162" s="36"/>
    </row>
    <row r="163" spans="6:6" ht="33" customHeight="1" x14ac:dyDescent="0.3">
      <c r="F163" s="36"/>
    </row>
    <row r="164" spans="6:6" ht="33" customHeight="1" x14ac:dyDescent="0.3">
      <c r="F164" s="36"/>
    </row>
    <row r="165" spans="6:6" ht="33" customHeight="1" x14ac:dyDescent="0.3">
      <c r="F165" s="36"/>
    </row>
    <row r="166" spans="6:6" ht="33" customHeight="1" x14ac:dyDescent="0.3">
      <c r="F166" s="36"/>
    </row>
    <row r="167" spans="6:6" ht="33" customHeight="1" x14ac:dyDescent="0.3">
      <c r="F167" s="36"/>
    </row>
    <row r="168" spans="6:6" ht="33" customHeight="1" x14ac:dyDescent="0.3">
      <c r="F168" s="36"/>
    </row>
    <row r="169" spans="6:6" ht="33" customHeight="1" x14ac:dyDescent="0.3">
      <c r="F169" s="36"/>
    </row>
    <row r="170" spans="6:6" ht="33" customHeight="1" x14ac:dyDescent="0.3">
      <c r="F170" s="36"/>
    </row>
    <row r="171" spans="6:6" ht="33" customHeight="1" x14ac:dyDescent="0.3">
      <c r="F171" s="36"/>
    </row>
    <row r="172" spans="6:6" ht="33" customHeight="1" x14ac:dyDescent="0.3">
      <c r="F172" s="36"/>
    </row>
    <row r="173" spans="6:6" ht="33" customHeight="1" x14ac:dyDescent="0.3">
      <c r="F173" s="36"/>
    </row>
    <row r="174" spans="6:6" ht="33" customHeight="1" x14ac:dyDescent="0.3">
      <c r="F174" s="36"/>
    </row>
    <row r="175" spans="6:6" ht="33" customHeight="1" x14ac:dyDescent="0.3">
      <c r="F175" s="36"/>
    </row>
    <row r="176" spans="6:6" ht="33" customHeight="1" x14ac:dyDescent="0.3">
      <c r="F176" s="36"/>
    </row>
    <row r="177" spans="6:6" ht="33" customHeight="1" x14ac:dyDescent="0.3">
      <c r="F177" s="36"/>
    </row>
    <row r="178" spans="6:6" ht="33" customHeight="1" x14ac:dyDescent="0.3">
      <c r="F178" s="36"/>
    </row>
    <row r="179" spans="6:6" ht="33" customHeight="1" x14ac:dyDescent="0.3">
      <c r="F179" s="36"/>
    </row>
    <row r="180" spans="6:6" ht="33" customHeight="1" x14ac:dyDescent="0.3">
      <c r="F180" s="36"/>
    </row>
    <row r="181" spans="6:6" ht="33" customHeight="1" x14ac:dyDescent="0.3">
      <c r="F181" s="36"/>
    </row>
    <row r="182" spans="6:6" ht="33" customHeight="1" x14ac:dyDescent="0.3">
      <c r="F182" s="36"/>
    </row>
    <row r="183" spans="6:6" ht="33" customHeight="1" x14ac:dyDescent="0.3">
      <c r="F183" s="36"/>
    </row>
    <row r="184" spans="6:6" ht="33" customHeight="1" x14ac:dyDescent="0.3">
      <c r="F184" s="36"/>
    </row>
    <row r="185" spans="6:6" ht="33" customHeight="1" x14ac:dyDescent="0.3">
      <c r="F185" s="36"/>
    </row>
    <row r="186" spans="6:6" ht="33" customHeight="1" x14ac:dyDescent="0.3">
      <c r="F186" s="36"/>
    </row>
    <row r="187" spans="6:6" ht="33" customHeight="1" x14ac:dyDescent="0.3">
      <c r="F187" s="36"/>
    </row>
    <row r="188" spans="6:6" ht="33" customHeight="1" x14ac:dyDescent="0.3">
      <c r="F188" s="36"/>
    </row>
    <row r="189" spans="6:6" ht="33" customHeight="1" x14ac:dyDescent="0.3">
      <c r="F189" s="36"/>
    </row>
    <row r="190" spans="6:6" ht="33" customHeight="1" x14ac:dyDescent="0.3">
      <c r="F190" s="36"/>
    </row>
    <row r="191" spans="6:6" ht="33" customHeight="1" x14ac:dyDescent="0.3">
      <c r="F191" s="36"/>
    </row>
    <row r="192" spans="6:6" ht="33" customHeight="1" x14ac:dyDescent="0.3">
      <c r="F192" s="36"/>
    </row>
    <row r="193" spans="6:6" ht="33" customHeight="1" x14ac:dyDescent="0.3">
      <c r="F193" s="36"/>
    </row>
    <row r="194" spans="6:6" ht="33" customHeight="1" x14ac:dyDescent="0.3">
      <c r="F194" s="36"/>
    </row>
    <row r="195" spans="6:6" ht="33" customHeight="1" x14ac:dyDescent="0.3">
      <c r="F195" s="36"/>
    </row>
    <row r="196" spans="6:6" ht="33" customHeight="1" x14ac:dyDescent="0.3">
      <c r="F196" s="36"/>
    </row>
    <row r="197" spans="6:6" ht="33" customHeight="1" x14ac:dyDescent="0.3">
      <c r="F197" s="36"/>
    </row>
    <row r="198" spans="6:6" ht="33" customHeight="1" x14ac:dyDescent="0.3">
      <c r="F198" s="36"/>
    </row>
    <row r="199" spans="6:6" ht="33" customHeight="1" x14ac:dyDescent="0.3">
      <c r="F199" s="36"/>
    </row>
    <row r="200" spans="6:6" ht="33" customHeight="1" x14ac:dyDescent="0.3">
      <c r="F200" s="36"/>
    </row>
    <row r="201" spans="6:6" ht="33" customHeight="1" x14ac:dyDescent="0.3">
      <c r="F201" s="36"/>
    </row>
    <row r="202" spans="6:6" ht="33" customHeight="1" x14ac:dyDescent="0.3">
      <c r="F202" s="36"/>
    </row>
    <row r="203" spans="6:6" ht="33" customHeight="1" x14ac:dyDescent="0.3">
      <c r="F203" s="36"/>
    </row>
    <row r="204" spans="6:6" ht="33" customHeight="1" x14ac:dyDescent="0.3">
      <c r="F204" s="36"/>
    </row>
    <row r="205" spans="6:6" ht="33" customHeight="1" x14ac:dyDescent="0.3">
      <c r="F205" s="36"/>
    </row>
    <row r="206" spans="6:6" ht="33" customHeight="1" x14ac:dyDescent="0.3">
      <c r="F206" s="36"/>
    </row>
    <row r="207" spans="6:6" ht="33" customHeight="1" x14ac:dyDescent="0.3">
      <c r="F207" s="36"/>
    </row>
    <row r="208" spans="6:6" ht="33" customHeight="1" x14ac:dyDescent="0.3">
      <c r="F208" s="36"/>
    </row>
    <row r="209" spans="6:6" ht="33" customHeight="1" x14ac:dyDescent="0.3">
      <c r="F209" s="36"/>
    </row>
    <row r="210" spans="6:6" ht="33" customHeight="1" x14ac:dyDescent="0.3">
      <c r="F210" s="36"/>
    </row>
    <row r="211" spans="6:6" ht="33" customHeight="1" x14ac:dyDescent="0.3">
      <c r="F211" s="36"/>
    </row>
    <row r="212" spans="6:6" ht="33" customHeight="1" x14ac:dyDescent="0.3">
      <c r="F212" s="36"/>
    </row>
    <row r="213" spans="6:6" ht="33" customHeight="1" x14ac:dyDescent="0.3">
      <c r="F213" s="36"/>
    </row>
    <row r="214" spans="6:6" ht="33" customHeight="1" x14ac:dyDescent="0.3">
      <c r="F214" s="36"/>
    </row>
    <row r="215" spans="6:6" ht="33" customHeight="1" x14ac:dyDescent="0.3">
      <c r="F215" s="36"/>
    </row>
    <row r="216" spans="6:6" ht="33" customHeight="1" x14ac:dyDescent="0.3">
      <c r="F216" s="36"/>
    </row>
    <row r="217" spans="6:6" ht="33" customHeight="1" x14ac:dyDescent="0.3">
      <c r="F217" s="36"/>
    </row>
    <row r="218" spans="6:6" ht="33" customHeight="1" x14ac:dyDescent="0.3">
      <c r="F218" s="36"/>
    </row>
    <row r="219" spans="6:6" ht="33" customHeight="1" x14ac:dyDescent="0.3">
      <c r="F219" s="36"/>
    </row>
    <row r="220" spans="6:6" ht="33" customHeight="1" x14ac:dyDescent="0.3">
      <c r="F220" s="36"/>
    </row>
    <row r="221" spans="6:6" ht="33" customHeight="1" x14ac:dyDescent="0.3">
      <c r="F221" s="36"/>
    </row>
    <row r="222" spans="6:6" ht="33" customHeight="1" x14ac:dyDescent="0.3">
      <c r="F222" s="36"/>
    </row>
    <row r="223" spans="6:6" ht="33" customHeight="1" x14ac:dyDescent="0.3">
      <c r="F223" s="36"/>
    </row>
    <row r="224" spans="6:6" ht="33" customHeight="1" x14ac:dyDescent="0.3">
      <c r="F224" s="36"/>
    </row>
    <row r="225" spans="6:6" ht="33" customHeight="1" x14ac:dyDescent="0.3">
      <c r="F225" s="36"/>
    </row>
    <row r="226" spans="6:6" ht="33" customHeight="1" x14ac:dyDescent="0.3">
      <c r="F226" s="36"/>
    </row>
    <row r="227" spans="6:6" ht="33" customHeight="1" x14ac:dyDescent="0.3">
      <c r="F227" s="36"/>
    </row>
    <row r="228" spans="6:6" ht="33" customHeight="1" x14ac:dyDescent="0.3">
      <c r="F228" s="36"/>
    </row>
    <row r="229" spans="6:6" ht="33" customHeight="1" x14ac:dyDescent="0.3">
      <c r="F229" s="36"/>
    </row>
    <row r="230" spans="6:6" ht="33" customHeight="1" x14ac:dyDescent="0.3">
      <c r="F230" s="36"/>
    </row>
    <row r="231" spans="6:6" ht="33" customHeight="1" x14ac:dyDescent="0.3">
      <c r="F231" s="36"/>
    </row>
    <row r="232" spans="6:6" ht="33" customHeight="1" x14ac:dyDescent="0.3">
      <c r="F232" s="36"/>
    </row>
    <row r="233" spans="6:6" ht="33" customHeight="1" x14ac:dyDescent="0.3">
      <c r="F233" s="36"/>
    </row>
    <row r="234" spans="6:6" ht="33" customHeight="1" x14ac:dyDescent="0.3">
      <c r="F234" s="36"/>
    </row>
    <row r="235" spans="6:6" ht="33" customHeight="1" x14ac:dyDescent="0.3">
      <c r="F235" s="36"/>
    </row>
    <row r="236" spans="6:6" ht="33" customHeight="1" x14ac:dyDescent="0.3">
      <c r="F236" s="36"/>
    </row>
    <row r="237" spans="6:6" ht="33" customHeight="1" x14ac:dyDescent="0.3">
      <c r="F237" s="36"/>
    </row>
    <row r="238" spans="6:6" ht="33" customHeight="1" x14ac:dyDescent="0.3">
      <c r="F238" s="36"/>
    </row>
    <row r="239" spans="6:6" ht="33" customHeight="1" x14ac:dyDescent="0.3">
      <c r="F239" s="36"/>
    </row>
    <row r="240" spans="6:6" ht="33" customHeight="1" x14ac:dyDescent="0.3">
      <c r="F240" s="36"/>
    </row>
    <row r="241" spans="6:6" ht="33" customHeight="1" x14ac:dyDescent="0.3">
      <c r="F241" s="36"/>
    </row>
    <row r="242" spans="6:6" ht="33" customHeight="1" x14ac:dyDescent="0.3">
      <c r="F242" s="36"/>
    </row>
    <row r="243" spans="6:6" ht="33" customHeight="1" x14ac:dyDescent="0.3">
      <c r="F243" s="36"/>
    </row>
    <row r="244" spans="6:6" ht="33" customHeight="1" x14ac:dyDescent="0.3">
      <c r="F244" s="36"/>
    </row>
    <row r="245" spans="6:6" ht="33" customHeight="1" x14ac:dyDescent="0.3">
      <c r="F245" s="36"/>
    </row>
    <row r="246" spans="6:6" ht="33" customHeight="1" x14ac:dyDescent="0.3">
      <c r="F246" s="36"/>
    </row>
    <row r="247" spans="6:6" ht="33" customHeight="1" x14ac:dyDescent="0.3">
      <c r="F247" s="36"/>
    </row>
    <row r="248" spans="6:6" ht="33" customHeight="1" x14ac:dyDescent="0.3">
      <c r="F248" s="36"/>
    </row>
    <row r="249" spans="6:6" ht="33" customHeight="1" x14ac:dyDescent="0.3">
      <c r="F249" s="36"/>
    </row>
    <row r="250" spans="6:6" ht="33" customHeight="1" x14ac:dyDescent="0.3">
      <c r="F250" s="36"/>
    </row>
    <row r="251" spans="6:6" ht="33" customHeight="1" x14ac:dyDescent="0.3">
      <c r="F251" s="36"/>
    </row>
    <row r="252" spans="6:6" ht="33" customHeight="1" x14ac:dyDescent="0.3">
      <c r="F252" s="36"/>
    </row>
    <row r="253" spans="6:6" ht="33" customHeight="1" x14ac:dyDescent="0.3">
      <c r="F253" s="36"/>
    </row>
    <row r="254" spans="6:6" ht="33" customHeight="1" x14ac:dyDescent="0.3">
      <c r="F254" s="36"/>
    </row>
    <row r="255" spans="6:6" ht="33" customHeight="1" x14ac:dyDescent="0.3">
      <c r="F255" s="36"/>
    </row>
    <row r="256" spans="6:6" ht="33" customHeight="1" x14ac:dyDescent="0.3">
      <c r="F256" s="36"/>
    </row>
    <row r="257" spans="6:6" ht="33" customHeight="1" x14ac:dyDescent="0.3">
      <c r="F257" s="36"/>
    </row>
    <row r="258" spans="6:6" ht="33" customHeight="1" x14ac:dyDescent="0.3">
      <c r="F258" s="36"/>
    </row>
    <row r="259" spans="6:6" ht="33" customHeight="1" x14ac:dyDescent="0.3">
      <c r="F259" s="36"/>
    </row>
    <row r="260" spans="6:6" ht="33" customHeight="1" x14ac:dyDescent="0.3">
      <c r="F260" s="36"/>
    </row>
    <row r="261" spans="6:6" ht="33" customHeight="1" x14ac:dyDescent="0.3">
      <c r="F261" s="36"/>
    </row>
    <row r="262" spans="6:6" ht="33" customHeight="1" x14ac:dyDescent="0.3">
      <c r="F262" s="36"/>
    </row>
    <row r="263" spans="6:6" ht="33" customHeight="1" x14ac:dyDescent="0.3">
      <c r="F263" s="36"/>
    </row>
    <row r="264" spans="6:6" ht="33" customHeight="1" x14ac:dyDescent="0.3">
      <c r="F264" s="36"/>
    </row>
    <row r="265" spans="6:6" ht="33" customHeight="1" x14ac:dyDescent="0.3">
      <c r="F265" s="36"/>
    </row>
    <row r="266" spans="6:6" ht="33" customHeight="1" x14ac:dyDescent="0.3">
      <c r="F266" s="36"/>
    </row>
    <row r="267" spans="6:6" ht="33" customHeight="1" x14ac:dyDescent="0.3">
      <c r="F267" s="36"/>
    </row>
    <row r="268" spans="6:6" ht="33" customHeight="1" x14ac:dyDescent="0.3">
      <c r="F268" s="36"/>
    </row>
    <row r="269" spans="6:6" ht="33" customHeight="1" x14ac:dyDescent="0.3">
      <c r="F269" s="36"/>
    </row>
    <row r="270" spans="6:6" ht="33" customHeight="1" x14ac:dyDescent="0.3">
      <c r="F270" s="36"/>
    </row>
    <row r="271" spans="6:6" ht="33" customHeight="1" x14ac:dyDescent="0.3">
      <c r="F271" s="36"/>
    </row>
    <row r="272" spans="6:6" ht="33" customHeight="1" x14ac:dyDescent="0.3">
      <c r="F272" s="36"/>
    </row>
    <row r="273" spans="6:6" ht="33" customHeight="1" x14ac:dyDescent="0.3">
      <c r="F273" s="36"/>
    </row>
    <row r="274" spans="6:6" ht="33" customHeight="1" x14ac:dyDescent="0.3">
      <c r="F274" s="36"/>
    </row>
    <row r="275" spans="6:6" ht="33" customHeight="1" x14ac:dyDescent="0.3">
      <c r="F275" s="36"/>
    </row>
    <row r="276" spans="6:6" ht="33" customHeight="1" x14ac:dyDescent="0.3">
      <c r="F276" s="36"/>
    </row>
    <row r="277" spans="6:6" ht="33" customHeight="1" x14ac:dyDescent="0.3">
      <c r="F277" s="36"/>
    </row>
    <row r="278" spans="6:6" ht="33" customHeight="1" x14ac:dyDescent="0.3">
      <c r="F278" s="36"/>
    </row>
    <row r="279" spans="6:6" ht="33" customHeight="1" x14ac:dyDescent="0.3">
      <c r="F279" s="36"/>
    </row>
    <row r="280" spans="6:6" ht="33" customHeight="1" x14ac:dyDescent="0.3">
      <c r="F280" s="36"/>
    </row>
    <row r="281" spans="6:6" ht="33" customHeight="1" x14ac:dyDescent="0.3">
      <c r="F281" s="36"/>
    </row>
    <row r="282" spans="6:6" ht="33" customHeight="1" x14ac:dyDescent="0.3">
      <c r="F282" s="36"/>
    </row>
    <row r="283" spans="6:6" ht="33" customHeight="1" x14ac:dyDescent="0.3">
      <c r="F283" s="36"/>
    </row>
    <row r="284" spans="6:6" ht="33" customHeight="1" x14ac:dyDescent="0.3">
      <c r="F284" s="36"/>
    </row>
    <row r="285" spans="6:6" ht="33" customHeight="1" x14ac:dyDescent="0.3">
      <c r="F285" s="36"/>
    </row>
    <row r="286" spans="6:6" ht="33" customHeight="1" x14ac:dyDescent="0.3">
      <c r="F286" s="36"/>
    </row>
    <row r="287" spans="6:6" ht="33" customHeight="1" x14ac:dyDescent="0.3">
      <c r="F287" s="36"/>
    </row>
    <row r="288" spans="6:6" ht="33" customHeight="1" x14ac:dyDescent="0.3">
      <c r="F288" s="36"/>
    </row>
    <row r="289" spans="6:6" ht="33" customHeight="1" x14ac:dyDescent="0.3">
      <c r="F289" s="36"/>
    </row>
    <row r="290" spans="6:6" ht="33" customHeight="1" x14ac:dyDescent="0.3">
      <c r="F290" s="36"/>
    </row>
    <row r="291" spans="6:6" ht="33" customHeight="1" x14ac:dyDescent="0.3">
      <c r="F291" s="36"/>
    </row>
    <row r="292" spans="6:6" ht="33" customHeight="1" x14ac:dyDescent="0.3">
      <c r="F292" s="36"/>
    </row>
    <row r="293" spans="6:6" ht="33" customHeight="1" x14ac:dyDescent="0.3">
      <c r="F293" s="36"/>
    </row>
    <row r="294" spans="6:6" ht="33" customHeight="1" x14ac:dyDescent="0.3">
      <c r="F294" s="36"/>
    </row>
    <row r="295" spans="6:6" ht="33" customHeight="1" x14ac:dyDescent="0.3">
      <c r="F295" s="36"/>
    </row>
    <row r="296" spans="6:6" ht="33" customHeight="1" x14ac:dyDescent="0.3">
      <c r="F296" s="36"/>
    </row>
    <row r="297" spans="6:6" ht="33" customHeight="1" x14ac:dyDescent="0.3">
      <c r="F297" s="36"/>
    </row>
    <row r="298" spans="6:6" ht="33" customHeight="1" x14ac:dyDescent="0.3">
      <c r="F298" s="36"/>
    </row>
    <row r="299" spans="6:6" ht="33" customHeight="1" x14ac:dyDescent="0.3">
      <c r="F299" s="36"/>
    </row>
    <row r="300" spans="6:6" ht="33" customHeight="1" x14ac:dyDescent="0.3">
      <c r="F300" s="36"/>
    </row>
    <row r="301" spans="6:6" ht="33" customHeight="1" x14ac:dyDescent="0.3">
      <c r="F301" s="36"/>
    </row>
    <row r="302" spans="6:6" ht="33" customHeight="1" x14ac:dyDescent="0.3">
      <c r="F302" s="36"/>
    </row>
    <row r="303" spans="6:6" ht="33" customHeight="1" x14ac:dyDescent="0.3">
      <c r="F303" s="36"/>
    </row>
    <row r="304" spans="6:6" ht="33" customHeight="1" x14ac:dyDescent="0.3">
      <c r="F304" s="36"/>
    </row>
    <row r="305" spans="6:6" ht="33" customHeight="1" x14ac:dyDescent="0.3">
      <c r="F305" s="36"/>
    </row>
    <row r="306" spans="6:6" ht="33" customHeight="1" x14ac:dyDescent="0.3">
      <c r="F306" s="36"/>
    </row>
    <row r="307" spans="6:6" ht="33" customHeight="1" x14ac:dyDescent="0.3">
      <c r="F307" s="36"/>
    </row>
    <row r="308" spans="6:6" ht="33" customHeight="1" x14ac:dyDescent="0.3">
      <c r="F308" s="36"/>
    </row>
    <row r="309" spans="6:6" ht="33" customHeight="1" x14ac:dyDescent="0.3">
      <c r="F309" s="36"/>
    </row>
    <row r="310" spans="6:6" ht="33" customHeight="1" x14ac:dyDescent="0.3">
      <c r="F310" s="36"/>
    </row>
    <row r="311" spans="6:6" ht="33" customHeight="1" x14ac:dyDescent="0.3">
      <c r="F311" s="36"/>
    </row>
    <row r="312" spans="6:6" ht="33" customHeight="1" x14ac:dyDescent="0.3">
      <c r="F312" s="36"/>
    </row>
    <row r="313" spans="6:6" ht="33" customHeight="1" x14ac:dyDescent="0.3">
      <c r="F313" s="36"/>
    </row>
    <row r="314" spans="6:6" ht="33" customHeight="1" x14ac:dyDescent="0.3">
      <c r="F314" s="36"/>
    </row>
    <row r="315" spans="6:6" ht="33" customHeight="1" x14ac:dyDescent="0.3">
      <c r="F315" s="36"/>
    </row>
    <row r="316" spans="6:6" ht="33" customHeight="1" x14ac:dyDescent="0.3">
      <c r="F316" s="36"/>
    </row>
    <row r="317" spans="6:6" ht="33" customHeight="1" x14ac:dyDescent="0.3">
      <c r="F317" s="36"/>
    </row>
    <row r="318" spans="6:6" ht="33" customHeight="1" x14ac:dyDescent="0.3">
      <c r="F318" s="36"/>
    </row>
    <row r="319" spans="6:6" ht="33" customHeight="1" x14ac:dyDescent="0.3">
      <c r="F319" s="36"/>
    </row>
    <row r="320" spans="6:6" ht="33" customHeight="1" x14ac:dyDescent="0.3">
      <c r="F320" s="36"/>
    </row>
    <row r="321" spans="6:6" ht="33" customHeight="1" x14ac:dyDescent="0.3">
      <c r="F321" s="36"/>
    </row>
    <row r="322" spans="6:6" ht="33" customHeight="1" x14ac:dyDescent="0.3">
      <c r="F322" s="36"/>
    </row>
    <row r="323" spans="6:6" ht="33" customHeight="1" x14ac:dyDescent="0.3">
      <c r="F323" s="36"/>
    </row>
    <row r="324" spans="6:6" ht="33" customHeight="1" x14ac:dyDescent="0.3">
      <c r="F324" s="36"/>
    </row>
    <row r="325" spans="6:6" ht="33" customHeight="1" x14ac:dyDescent="0.3">
      <c r="F325" s="36"/>
    </row>
    <row r="326" spans="6:6" ht="33" customHeight="1" x14ac:dyDescent="0.3">
      <c r="F326" s="36"/>
    </row>
    <row r="327" spans="6:6" ht="33" customHeight="1" x14ac:dyDescent="0.3">
      <c r="F327" s="36"/>
    </row>
    <row r="328" spans="6:6" ht="33" customHeight="1" x14ac:dyDescent="0.3">
      <c r="F328" s="36"/>
    </row>
    <row r="329" spans="6:6" ht="33" customHeight="1" x14ac:dyDescent="0.3">
      <c r="F329" s="36"/>
    </row>
    <row r="330" spans="6:6" ht="33" customHeight="1" x14ac:dyDescent="0.3">
      <c r="F330" s="36"/>
    </row>
    <row r="331" spans="6:6" ht="33" customHeight="1" x14ac:dyDescent="0.3">
      <c r="F331" s="36"/>
    </row>
    <row r="332" spans="6:6" ht="33" customHeight="1" x14ac:dyDescent="0.3">
      <c r="F332" s="36"/>
    </row>
    <row r="333" spans="6:6" ht="33" customHeight="1" x14ac:dyDescent="0.3">
      <c r="F333" s="36"/>
    </row>
    <row r="334" spans="6:6" ht="33" customHeight="1" x14ac:dyDescent="0.3">
      <c r="F334" s="36"/>
    </row>
    <row r="335" spans="6:6" ht="33" customHeight="1" x14ac:dyDescent="0.3">
      <c r="F335" s="36"/>
    </row>
    <row r="336" spans="6:6" ht="33" customHeight="1" x14ac:dyDescent="0.3">
      <c r="F336" s="36"/>
    </row>
    <row r="337" spans="6:6" ht="33" customHeight="1" x14ac:dyDescent="0.3">
      <c r="F337" s="36"/>
    </row>
    <row r="338" spans="6:6" ht="33" customHeight="1" x14ac:dyDescent="0.3">
      <c r="F338" s="36"/>
    </row>
    <row r="339" spans="6:6" ht="33" customHeight="1" x14ac:dyDescent="0.3">
      <c r="F339" s="36"/>
    </row>
    <row r="340" spans="6:6" ht="33" customHeight="1" x14ac:dyDescent="0.3">
      <c r="F340" s="36"/>
    </row>
    <row r="341" spans="6:6" ht="33" customHeight="1" x14ac:dyDescent="0.3">
      <c r="F341" s="36"/>
    </row>
    <row r="342" spans="6:6" ht="33" customHeight="1" x14ac:dyDescent="0.3">
      <c r="F342" s="36"/>
    </row>
    <row r="343" spans="6:6" ht="33" customHeight="1" x14ac:dyDescent="0.3">
      <c r="F343" s="36"/>
    </row>
    <row r="344" spans="6:6" ht="33" customHeight="1" x14ac:dyDescent="0.3">
      <c r="F344" s="36"/>
    </row>
    <row r="345" spans="6:6" ht="33" customHeight="1" x14ac:dyDescent="0.3">
      <c r="F345" s="36"/>
    </row>
    <row r="346" spans="6:6" ht="33" customHeight="1" x14ac:dyDescent="0.3">
      <c r="F346" s="36"/>
    </row>
    <row r="347" spans="6:6" ht="33" customHeight="1" x14ac:dyDescent="0.3">
      <c r="F347" s="36"/>
    </row>
    <row r="348" spans="6:6" ht="33" customHeight="1" x14ac:dyDescent="0.3">
      <c r="F348" s="36"/>
    </row>
    <row r="349" spans="6:6" ht="33" customHeight="1" x14ac:dyDescent="0.3">
      <c r="F349" s="36"/>
    </row>
    <row r="350" spans="6:6" ht="33" customHeight="1" x14ac:dyDescent="0.3">
      <c r="F350" s="36"/>
    </row>
    <row r="351" spans="6:6" ht="33" customHeight="1" x14ac:dyDescent="0.3">
      <c r="F351" s="36"/>
    </row>
    <row r="352" spans="6:6" ht="33" customHeight="1" x14ac:dyDescent="0.3">
      <c r="F352" s="36"/>
    </row>
    <row r="353" spans="6:18" ht="33" customHeight="1" x14ac:dyDescent="0.3">
      <c r="F353" s="36"/>
    </row>
    <row r="354" spans="6:18" ht="33" customHeight="1" x14ac:dyDescent="0.3">
      <c r="F354" s="36"/>
    </row>
    <row r="355" spans="6:18" ht="33" customHeight="1" x14ac:dyDescent="0.3">
      <c r="F355" s="36"/>
    </row>
    <row r="356" spans="6:18" ht="33" customHeight="1" x14ac:dyDescent="0.3">
      <c r="F356" s="36"/>
    </row>
    <row r="357" spans="6:18" ht="33" customHeight="1" x14ac:dyDescent="0.3">
      <c r="F357" s="36"/>
    </row>
    <row r="358" spans="6:18" ht="33" customHeight="1" x14ac:dyDescent="0.3">
      <c r="F358" s="36"/>
    </row>
    <row r="359" spans="6:18" ht="33" customHeight="1" x14ac:dyDescent="0.3">
      <c r="F359" s="36"/>
    </row>
    <row r="360" spans="6:18" ht="33" customHeight="1" x14ac:dyDescent="0.3">
      <c r="F360" s="36"/>
    </row>
    <row r="361" spans="6:18" ht="33" customHeight="1" x14ac:dyDescent="0.3">
      <c r="F361" s="36"/>
    </row>
    <row r="362" spans="6:18" ht="33" customHeight="1" x14ac:dyDescent="0.3">
      <c r="F362" s="36"/>
    </row>
    <row r="363" spans="6:18" ht="33" customHeight="1" x14ac:dyDescent="0.3">
      <c r="F363" s="36"/>
    </row>
    <row r="364" spans="6:18" ht="33" customHeight="1" x14ac:dyDescent="0.3">
      <c r="F364" s="36"/>
    </row>
    <row r="365" spans="6:18" ht="33" customHeight="1" x14ac:dyDescent="0.3">
      <c r="F365" s="36"/>
    </row>
    <row r="366" spans="6:18" ht="33" customHeight="1" x14ac:dyDescent="0.3">
      <c r="F366" s="36"/>
    </row>
    <row r="367" spans="6:18" ht="33" customHeight="1" x14ac:dyDescent="0.45">
      <c r="F367" s="3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67"/>
  <sheetViews>
    <sheetView tabSelected="1" zoomScale="85" zoomScaleNormal="85" workbookViewId="0">
      <pane ySplit="1" topLeftCell="A14" activePane="bottomLeft" state="frozen"/>
      <selection pane="bottomLeft" activeCell="N2" sqref="N2"/>
    </sheetView>
  </sheetViews>
  <sheetFormatPr defaultRowHeight="14.4" x14ac:dyDescent="0.3"/>
  <cols>
    <col min="1" max="1" width="74.44140625" customWidth="1"/>
    <col min="2" max="2" width="28.109375" bestFit="1" customWidth="1"/>
    <col min="3" max="3" width="44.44140625" customWidth="1"/>
    <col min="4" max="4" width="15" bestFit="1" customWidth="1"/>
    <col min="6" max="6" width="16.109375" customWidth="1"/>
    <col min="7" max="9" width="26" customWidth="1"/>
    <col min="10" max="11" width="24.5546875" customWidth="1"/>
    <col min="12" max="20" width="18.6640625" customWidth="1"/>
  </cols>
  <sheetData>
    <row r="1" spans="1:20" ht="33" customHeight="1" x14ac:dyDescent="0.5">
      <c r="A1" s="10" t="s">
        <v>5</v>
      </c>
      <c r="B1" s="23">
        <f>SUM(G367,I367,J367)</f>
        <v>1590818.76</v>
      </c>
      <c r="F1" s="5" t="s">
        <v>3</v>
      </c>
      <c r="G1" s="7" t="s">
        <v>16</v>
      </c>
      <c r="H1" s="7" t="s">
        <v>35</v>
      </c>
      <c r="I1" s="7" t="s">
        <v>17</v>
      </c>
      <c r="J1" s="7" t="s">
        <v>18</v>
      </c>
      <c r="K1" s="7" t="s">
        <v>36</v>
      </c>
      <c r="L1" s="7" t="s">
        <v>6</v>
      </c>
      <c r="M1" s="7" t="s">
        <v>7</v>
      </c>
      <c r="N1" s="7" t="s">
        <v>11</v>
      </c>
      <c r="O1" s="7" t="s">
        <v>9</v>
      </c>
      <c r="P1" s="7" t="s">
        <v>10</v>
      </c>
      <c r="Q1" s="7" t="s">
        <v>13</v>
      </c>
      <c r="R1" s="7" t="s">
        <v>8</v>
      </c>
      <c r="S1" s="7" t="s">
        <v>14</v>
      </c>
      <c r="T1" s="7" t="s">
        <v>15</v>
      </c>
    </row>
    <row r="2" spans="1:20" ht="33" customHeight="1" x14ac:dyDescent="0.5">
      <c r="A2" s="11" t="s">
        <v>4</v>
      </c>
      <c r="B2" s="24">
        <f>SUM(I367,J367)</f>
        <v>1204512.82</v>
      </c>
      <c r="F2" s="6">
        <v>46023</v>
      </c>
      <c r="G2">
        <v>81996.25</v>
      </c>
      <c r="I2">
        <v>-81996.25</v>
      </c>
      <c r="N2">
        <v>-3.02</v>
      </c>
    </row>
    <row r="3" spans="1:20" ht="33" customHeight="1" x14ac:dyDescent="0.5">
      <c r="A3" s="8" t="s">
        <v>19</v>
      </c>
      <c r="B3" s="25">
        <f>SUM(L367,M367,N367,O367,P367,Q367,R367,S367,T367)</f>
        <v>1013337.4799999999</v>
      </c>
      <c r="F3" s="6">
        <v>46024</v>
      </c>
      <c r="G3">
        <v>3.77</v>
      </c>
    </row>
    <row r="4" spans="1:20" ht="33" customHeight="1" x14ac:dyDescent="0.5">
      <c r="A4" s="13" t="s">
        <v>0</v>
      </c>
      <c r="B4" s="26">
        <f>K367</f>
        <v>91</v>
      </c>
      <c r="F4" s="6">
        <v>46025</v>
      </c>
      <c r="G4">
        <v>-0.97</v>
      </c>
    </row>
    <row r="5" spans="1:20" ht="33" customHeight="1" x14ac:dyDescent="0.5">
      <c r="A5" s="15" t="s">
        <v>1</v>
      </c>
      <c r="B5" s="27">
        <f>H367</f>
        <v>32</v>
      </c>
      <c r="F5" s="6">
        <v>46026</v>
      </c>
    </row>
    <row r="6" spans="1:20" ht="33" customHeight="1" x14ac:dyDescent="0.5">
      <c r="A6" s="16" t="s">
        <v>20</v>
      </c>
      <c r="B6" s="44">
        <f>IF(B1+B3=0,0,B2/(B1+B3))</f>
        <v>0.46253477479523281</v>
      </c>
      <c r="F6" s="6">
        <v>46027</v>
      </c>
    </row>
    <row r="7" spans="1:20" ht="33" customHeight="1" x14ac:dyDescent="0.5">
      <c r="A7" s="18" t="s">
        <v>27</v>
      </c>
      <c r="B7" s="27" t="str">
        <f>IF(B6&lt;=0.699, "✅ Uygun", "❌ Aşıldı")</f>
        <v>✅ Uygun</v>
      </c>
      <c r="F7" s="6">
        <v>46028</v>
      </c>
    </row>
    <row r="8" spans="1:20" ht="33" customHeight="1" x14ac:dyDescent="0.5">
      <c r="A8" s="19" t="s">
        <v>22</v>
      </c>
      <c r="B8" s="26">
        <f>B4*0.3</f>
        <v>27.3</v>
      </c>
      <c r="F8" s="6">
        <v>46029</v>
      </c>
    </row>
    <row r="9" spans="1:20" ht="33" customHeight="1" x14ac:dyDescent="0.5">
      <c r="A9" s="14" t="s">
        <v>2</v>
      </c>
      <c r="B9" s="27" t="str">
        <f>IF(B5&gt;=B8, "✅ Uygun", "❌ Yetersiz")</f>
        <v>✅ Uygun</v>
      </c>
      <c r="F9" s="6">
        <v>46030</v>
      </c>
    </row>
    <row r="10" spans="1:20" ht="33" customHeight="1" x14ac:dyDescent="0.5">
      <c r="A10" s="12" t="s">
        <v>26</v>
      </c>
      <c r="B10" s="28">
        <f>IF(B1=0,0,B1/0.799 - B1)-B3</f>
        <v>-613144.02473091369</v>
      </c>
      <c r="F10" s="6">
        <v>46031</v>
      </c>
    </row>
    <row r="11" spans="1:20" ht="33" customHeight="1" x14ac:dyDescent="0.5">
      <c r="A11" s="21" t="s">
        <v>21</v>
      </c>
      <c r="B11" s="43">
        <f>IF(SUM(B1,B3)=0, 0, B1/SUM(B1,B3))</f>
        <v>0.61087684969316591</v>
      </c>
      <c r="F11" s="6">
        <v>46032</v>
      </c>
    </row>
    <row r="12" spans="1:20" ht="33" customHeight="1" x14ac:dyDescent="0.5">
      <c r="A12" s="20" t="s">
        <v>28</v>
      </c>
      <c r="B12" s="29" t="str">
        <f>IF(B11&lt;=0.799, "✅ Uygun", "❌ Aşıldı")</f>
        <v>✅ Uygun</v>
      </c>
      <c r="C12" s="1"/>
      <c r="D12" s="2"/>
      <c r="E12" s="1"/>
      <c r="F12" s="6">
        <v>46033</v>
      </c>
    </row>
    <row r="13" spans="1:20" ht="33" customHeight="1" x14ac:dyDescent="0.5">
      <c r="A13" s="17" t="s">
        <v>25</v>
      </c>
      <c r="B13" s="30">
        <f>IF(B2=0,0,B2/0.699 - B2)-B3</f>
        <v>-494655.99384835444</v>
      </c>
      <c r="C13" s="1"/>
      <c r="F13" s="6">
        <v>46034</v>
      </c>
    </row>
    <row r="14" spans="1:20" ht="33" customHeight="1" x14ac:dyDescent="0.5">
      <c r="A14" s="9" t="s">
        <v>23</v>
      </c>
      <c r="B14" s="41">
        <f>IF(B2=0,0,(M367+O367+P367+R367+T367)/B2)</f>
        <v>0.33883083950903897</v>
      </c>
      <c r="F14" s="6">
        <v>46035</v>
      </c>
    </row>
    <row r="15" spans="1:20" ht="33" customHeight="1" x14ac:dyDescent="0.5">
      <c r="A15" s="22" t="s">
        <v>24</v>
      </c>
      <c r="B15" s="27" t="str">
        <f>IF(B14&gt;=0.1,"✅ Uygun","❌ Aşıldı")</f>
        <v>✅ Uygun</v>
      </c>
      <c r="F15" s="6">
        <v>46036</v>
      </c>
    </row>
    <row r="16" spans="1:20" ht="33" customHeight="1" x14ac:dyDescent="0.5">
      <c r="A16" s="22" t="s">
        <v>38</v>
      </c>
      <c r="B16" s="25">
        <f>M367+O367+P367+R367+T367</f>
        <v>408126.08999999997</v>
      </c>
      <c r="F16" s="6">
        <v>46037</v>
      </c>
    </row>
    <row r="17" spans="1:20" ht="33" customHeight="1" x14ac:dyDescent="0.3">
      <c r="F17" s="6">
        <v>46038</v>
      </c>
    </row>
    <row r="18" spans="1:20" ht="33" customHeight="1" x14ac:dyDescent="0.55000000000000004">
      <c r="A18" s="48" t="s">
        <v>34</v>
      </c>
      <c r="B18" s="49"/>
      <c r="F18" s="6">
        <v>46039</v>
      </c>
    </row>
    <row r="19" spans="1:20" ht="33" customHeight="1" x14ac:dyDescent="0.5">
      <c r="A19" s="16" t="s">
        <v>20</v>
      </c>
      <c r="B19" s="42">
        <f>B6</f>
        <v>0.46253477479523281</v>
      </c>
      <c r="F19" s="6">
        <v>46040</v>
      </c>
    </row>
    <row r="20" spans="1:20" ht="33" customHeight="1" x14ac:dyDescent="0.5">
      <c r="A20" s="18" t="s">
        <v>27</v>
      </c>
      <c r="B20" s="32" t="str">
        <f>B7</f>
        <v>✅ Uygun</v>
      </c>
      <c r="F20" s="6">
        <v>46041</v>
      </c>
      <c r="G20" s="40">
        <v>58167.21</v>
      </c>
      <c r="H20">
        <v>11</v>
      </c>
      <c r="I20" s="40">
        <v>147826.31</v>
      </c>
      <c r="J20" s="40">
        <v>589078.86</v>
      </c>
      <c r="K20">
        <v>56</v>
      </c>
      <c r="L20" s="40">
        <v>281400.15000000002</v>
      </c>
      <c r="M20" s="40">
        <v>22886.97</v>
      </c>
      <c r="N20">
        <v>108712.14</v>
      </c>
      <c r="O20">
        <v>38431.51</v>
      </c>
      <c r="P20" s="40">
        <v>134244.87</v>
      </c>
      <c r="R20" s="40">
        <v>1325.88</v>
      </c>
      <c r="T20" s="40">
        <v>666.16</v>
      </c>
    </row>
    <row r="21" spans="1:20" ht="33" customHeight="1" x14ac:dyDescent="0.5">
      <c r="A21" s="17" t="s">
        <v>26</v>
      </c>
      <c r="B21" s="34">
        <f t="shared" ref="B21:B26" si="0">B10</f>
        <v>-613144.02473091369</v>
      </c>
      <c r="F21" s="6">
        <v>46042</v>
      </c>
    </row>
    <row r="22" spans="1:20" ht="33" customHeight="1" x14ac:dyDescent="0.5">
      <c r="A22" s="21" t="s">
        <v>21</v>
      </c>
      <c r="B22" s="42">
        <f t="shared" si="0"/>
        <v>0.61087684969316591</v>
      </c>
      <c r="F22" s="6">
        <v>46043</v>
      </c>
    </row>
    <row r="23" spans="1:20" ht="33" customHeight="1" x14ac:dyDescent="0.5">
      <c r="A23" s="20" t="s">
        <v>28</v>
      </c>
      <c r="B23" s="33" t="str">
        <f t="shared" si="0"/>
        <v>✅ Uygun</v>
      </c>
      <c r="F23" s="6">
        <v>46044</v>
      </c>
    </row>
    <row r="24" spans="1:20" ht="33" customHeight="1" x14ac:dyDescent="0.5">
      <c r="A24" s="17" t="s">
        <v>25</v>
      </c>
      <c r="B24" s="34">
        <f t="shared" si="0"/>
        <v>-494655.99384835444</v>
      </c>
      <c r="F24" s="6">
        <v>46045</v>
      </c>
      <c r="G24">
        <v>12639.01</v>
      </c>
      <c r="H24">
        <v>1</v>
      </c>
      <c r="I24" s="40">
        <v>23217.3</v>
      </c>
      <c r="J24" s="40">
        <v>64256.639999999999</v>
      </c>
      <c r="K24">
        <v>7</v>
      </c>
      <c r="L24" s="40">
        <v>30344.81</v>
      </c>
      <c r="N24" s="40">
        <v>5320.09</v>
      </c>
      <c r="O24" s="40">
        <v>4764</v>
      </c>
    </row>
    <row r="25" spans="1:20" ht="33" customHeight="1" x14ac:dyDescent="0.5">
      <c r="A25" s="9" t="s">
        <v>23</v>
      </c>
      <c r="B25" s="42">
        <f t="shared" si="0"/>
        <v>0.33883083950903897</v>
      </c>
      <c r="F25" s="6">
        <v>46046</v>
      </c>
      <c r="G25">
        <v>4691.99</v>
      </c>
      <c r="H25">
        <v>2</v>
      </c>
      <c r="L25">
        <v>16640.669999999998</v>
      </c>
      <c r="N25">
        <v>2555.31</v>
      </c>
    </row>
    <row r="26" spans="1:20" ht="33" customHeight="1" x14ac:dyDescent="0.5">
      <c r="A26" s="22" t="s">
        <v>24</v>
      </c>
      <c r="B26" s="32" t="str">
        <f t="shared" si="0"/>
        <v>✅ Uygun</v>
      </c>
      <c r="F26" s="6">
        <v>46047</v>
      </c>
    </row>
    <row r="27" spans="1:20" ht="33" customHeight="1" x14ac:dyDescent="0.5">
      <c r="A27" s="14" t="s">
        <v>2</v>
      </c>
      <c r="B27" s="32" t="str">
        <f>B9</f>
        <v>✅ Uygun</v>
      </c>
      <c r="F27" s="6">
        <v>46048</v>
      </c>
      <c r="G27">
        <v>31276.18</v>
      </c>
      <c r="H27">
        <v>4</v>
      </c>
      <c r="I27">
        <v>-3940.3</v>
      </c>
      <c r="J27">
        <v>33852.089999999997</v>
      </c>
      <c r="K27">
        <v>4</v>
      </c>
      <c r="N27">
        <v>9453.7199999999993</v>
      </c>
      <c r="O27">
        <v>4764</v>
      </c>
      <c r="T27">
        <v>1014.21</v>
      </c>
    </row>
    <row r="28" spans="1:20" ht="33" customHeight="1" x14ac:dyDescent="0.3">
      <c r="F28" s="6">
        <v>46049</v>
      </c>
      <c r="G28">
        <v>85475.89</v>
      </c>
      <c r="H28">
        <v>7</v>
      </c>
      <c r="I28">
        <v>23387.19</v>
      </c>
      <c r="J28">
        <v>27926.799999999999</v>
      </c>
      <c r="K28">
        <v>3</v>
      </c>
      <c r="L28">
        <v>-79.260000000000005</v>
      </c>
      <c r="M28">
        <v>9286.57</v>
      </c>
      <c r="N28">
        <v>4307.7299999999996</v>
      </c>
      <c r="O28">
        <v>10039.06</v>
      </c>
    </row>
    <row r="29" spans="1:20" ht="33" customHeight="1" x14ac:dyDescent="0.3">
      <c r="F29" s="6">
        <v>46050</v>
      </c>
      <c r="G29">
        <v>41458.660000000003</v>
      </c>
      <c r="H29">
        <v>4</v>
      </c>
      <c r="I29">
        <v>7464.44</v>
      </c>
      <c r="J29">
        <v>38337.42</v>
      </c>
      <c r="K29">
        <v>4</v>
      </c>
      <c r="L29">
        <v>-4385.59</v>
      </c>
      <c r="N29">
        <v>12016.57</v>
      </c>
      <c r="O29">
        <v>4764</v>
      </c>
    </row>
    <row r="30" spans="1:20" ht="33" customHeight="1" x14ac:dyDescent="0.3">
      <c r="F30" s="6">
        <v>46051</v>
      </c>
      <c r="G30">
        <v>-3464</v>
      </c>
      <c r="H30">
        <v>-1</v>
      </c>
      <c r="I30">
        <v>40820.97</v>
      </c>
      <c r="J30">
        <v>18308.25</v>
      </c>
      <c r="K30">
        <v>2</v>
      </c>
      <c r="L30">
        <v>37377.660000000003</v>
      </c>
      <c r="N30">
        <v>1474</v>
      </c>
      <c r="O30">
        <v>4764</v>
      </c>
      <c r="R30">
        <v>21852.82</v>
      </c>
    </row>
    <row r="31" spans="1:20" ht="33" customHeight="1" x14ac:dyDescent="0.3">
      <c r="F31" s="6">
        <v>46052</v>
      </c>
      <c r="G31">
        <v>3747.88</v>
      </c>
      <c r="H31">
        <v>1</v>
      </c>
      <c r="I31">
        <v>27519.9</v>
      </c>
      <c r="J31">
        <v>46643.33</v>
      </c>
      <c r="K31">
        <v>5</v>
      </c>
      <c r="L31">
        <v>31301.200000000001</v>
      </c>
      <c r="M31">
        <v>6934.98</v>
      </c>
      <c r="N31">
        <v>1344.33</v>
      </c>
      <c r="O31">
        <v>3573</v>
      </c>
      <c r="R31">
        <v>63562.27</v>
      </c>
      <c r="T31">
        <v>876</v>
      </c>
    </row>
    <row r="32" spans="1:20" ht="33" customHeight="1" x14ac:dyDescent="0.3">
      <c r="F32" s="6">
        <v>46053</v>
      </c>
    </row>
    <row r="33" spans="6:16" ht="33" customHeight="1" x14ac:dyDescent="0.3">
      <c r="F33" s="6">
        <v>46054</v>
      </c>
    </row>
    <row r="34" spans="6:16" ht="33" customHeight="1" x14ac:dyDescent="0.3">
      <c r="F34" s="6">
        <v>46055</v>
      </c>
      <c r="G34">
        <v>12096.75</v>
      </c>
      <c r="H34">
        <v>0</v>
      </c>
      <c r="I34">
        <v>12668.7</v>
      </c>
      <c r="J34">
        <v>48596.959999999999</v>
      </c>
      <c r="K34">
        <v>4</v>
      </c>
      <c r="L34" s="40">
        <v>11516.75</v>
      </c>
      <c r="M34">
        <v>11754.17</v>
      </c>
      <c r="N34">
        <v>15514.04</v>
      </c>
      <c r="O34">
        <v>1191</v>
      </c>
      <c r="P34">
        <v>46128.21</v>
      </c>
    </row>
    <row r="35" spans="6:16" ht="33" customHeight="1" x14ac:dyDescent="0.3">
      <c r="F35" s="6">
        <v>46056</v>
      </c>
      <c r="G35">
        <v>20305.04</v>
      </c>
      <c r="H35">
        <v>1</v>
      </c>
      <c r="I35">
        <v>36273.64</v>
      </c>
      <c r="J35">
        <v>23105.14</v>
      </c>
      <c r="K35">
        <v>2</v>
      </c>
      <c r="N35">
        <v>3470.31</v>
      </c>
      <c r="O35">
        <v>1213.8399999999999</v>
      </c>
    </row>
    <row r="36" spans="6:16" ht="33" customHeight="1" x14ac:dyDescent="0.3">
      <c r="F36" s="6">
        <v>46057</v>
      </c>
    </row>
    <row r="37" spans="6:16" ht="33" customHeight="1" x14ac:dyDescent="0.3">
      <c r="F37" s="6">
        <v>46058</v>
      </c>
      <c r="G37">
        <v>37912.28</v>
      </c>
      <c r="H37">
        <v>2</v>
      </c>
      <c r="I37">
        <v>41701.699999999997</v>
      </c>
      <c r="J37">
        <v>39463.730000000003</v>
      </c>
      <c r="K37">
        <v>4</v>
      </c>
      <c r="L37">
        <v>25314.44</v>
      </c>
      <c r="M37">
        <v>10515.57</v>
      </c>
      <c r="N37">
        <v>11615.34</v>
      </c>
      <c r="O37">
        <v>3573</v>
      </c>
    </row>
    <row r="38" spans="6:16" ht="33" customHeight="1" x14ac:dyDescent="0.3">
      <c r="F38" s="6">
        <v>46059</v>
      </c>
    </row>
    <row r="39" spans="6:16" ht="33" customHeight="1" x14ac:dyDescent="0.3">
      <c r="F39" s="6">
        <v>46060</v>
      </c>
    </row>
    <row r="40" spans="6:16" ht="33" customHeight="1" x14ac:dyDescent="0.3">
      <c r="F40" s="6">
        <v>46061</v>
      </c>
    </row>
    <row r="41" spans="6:16" ht="33" customHeight="1" x14ac:dyDescent="0.3">
      <c r="F41" s="6">
        <v>46062</v>
      </c>
    </row>
    <row r="42" spans="6:16" ht="33" customHeight="1" x14ac:dyDescent="0.3">
      <c r="F42" s="6">
        <v>46063</v>
      </c>
    </row>
    <row r="43" spans="6:16" ht="33" customHeight="1" x14ac:dyDescent="0.3">
      <c r="F43" s="6">
        <v>46064</v>
      </c>
    </row>
    <row r="44" spans="6:16" ht="33" customHeight="1" x14ac:dyDescent="0.3">
      <c r="F44" s="6">
        <v>46065</v>
      </c>
    </row>
    <row r="45" spans="6:16" ht="33" customHeight="1" x14ac:dyDescent="0.3">
      <c r="F45" s="6">
        <v>46066</v>
      </c>
    </row>
    <row r="46" spans="6:16" ht="33" customHeight="1" x14ac:dyDescent="0.3">
      <c r="F46" s="6">
        <v>46067</v>
      </c>
    </row>
    <row r="47" spans="6:16" ht="33" customHeight="1" x14ac:dyDescent="0.3">
      <c r="F47" s="6">
        <v>46068</v>
      </c>
    </row>
    <row r="48" spans="6:16" ht="33" customHeight="1" x14ac:dyDescent="0.3">
      <c r="F48" s="6">
        <v>46069</v>
      </c>
    </row>
    <row r="49" spans="6:6" ht="33" customHeight="1" x14ac:dyDescent="0.3">
      <c r="F49" s="6">
        <v>46070</v>
      </c>
    </row>
    <row r="50" spans="6:6" ht="33" customHeight="1" x14ac:dyDescent="0.3">
      <c r="F50" s="6">
        <v>46071</v>
      </c>
    </row>
    <row r="51" spans="6:6" ht="33" customHeight="1" x14ac:dyDescent="0.3">
      <c r="F51" s="6">
        <v>46072</v>
      </c>
    </row>
    <row r="52" spans="6:6" ht="33" customHeight="1" x14ac:dyDescent="0.3">
      <c r="F52" s="6">
        <v>46073</v>
      </c>
    </row>
    <row r="53" spans="6:6" ht="33" customHeight="1" x14ac:dyDescent="0.3">
      <c r="F53" s="6">
        <v>46074</v>
      </c>
    </row>
    <row r="54" spans="6:6" ht="33" customHeight="1" x14ac:dyDescent="0.3">
      <c r="F54" s="6">
        <v>46075</v>
      </c>
    </row>
    <row r="55" spans="6:6" ht="33" customHeight="1" x14ac:dyDescent="0.3">
      <c r="F55" s="6">
        <v>46076</v>
      </c>
    </row>
    <row r="56" spans="6:6" ht="33" customHeight="1" x14ac:dyDescent="0.3">
      <c r="F56" s="6">
        <v>46077</v>
      </c>
    </row>
    <row r="57" spans="6:6" ht="33" customHeight="1" x14ac:dyDescent="0.3">
      <c r="F57" s="6">
        <v>46078</v>
      </c>
    </row>
    <row r="58" spans="6:6" ht="33" customHeight="1" x14ac:dyDescent="0.3">
      <c r="F58" s="6">
        <v>46079</v>
      </c>
    </row>
    <row r="59" spans="6:6" ht="33" customHeight="1" x14ac:dyDescent="0.3">
      <c r="F59" s="6">
        <v>46080</v>
      </c>
    </row>
    <row r="60" spans="6:6" ht="33" customHeight="1" x14ac:dyDescent="0.3">
      <c r="F60" s="6">
        <v>46081</v>
      </c>
    </row>
    <row r="61" spans="6:6" ht="33" customHeight="1" x14ac:dyDescent="0.3">
      <c r="F61" s="6">
        <v>46082</v>
      </c>
    </row>
    <row r="62" spans="6:6" ht="33" customHeight="1" x14ac:dyDescent="0.3">
      <c r="F62" s="6">
        <v>46083</v>
      </c>
    </row>
    <row r="63" spans="6:6" ht="33" customHeight="1" x14ac:dyDescent="0.3">
      <c r="F63" s="6">
        <v>46084</v>
      </c>
    </row>
    <row r="64" spans="6:6" ht="33" customHeight="1" x14ac:dyDescent="0.3">
      <c r="F64" s="6">
        <v>46085</v>
      </c>
    </row>
    <row r="65" spans="6:6" ht="33" customHeight="1" x14ac:dyDescent="0.3">
      <c r="F65" s="6">
        <v>46086</v>
      </c>
    </row>
    <row r="66" spans="6:6" ht="33" customHeight="1" x14ac:dyDescent="0.3">
      <c r="F66" s="6">
        <v>46087</v>
      </c>
    </row>
    <row r="67" spans="6:6" ht="33" customHeight="1" x14ac:dyDescent="0.3">
      <c r="F67" s="6">
        <v>46088</v>
      </c>
    </row>
    <row r="68" spans="6:6" ht="33" customHeight="1" x14ac:dyDescent="0.3">
      <c r="F68" s="6">
        <v>46089</v>
      </c>
    </row>
    <row r="69" spans="6:6" ht="33" customHeight="1" x14ac:dyDescent="0.3">
      <c r="F69" s="6">
        <v>46090</v>
      </c>
    </row>
    <row r="70" spans="6:6" ht="33" customHeight="1" x14ac:dyDescent="0.3">
      <c r="F70" s="6">
        <v>46091</v>
      </c>
    </row>
    <row r="71" spans="6:6" ht="33" customHeight="1" x14ac:dyDescent="0.3">
      <c r="F71" s="6">
        <v>46092</v>
      </c>
    </row>
    <row r="72" spans="6:6" ht="33" customHeight="1" x14ac:dyDescent="0.3">
      <c r="F72" s="6">
        <v>46093</v>
      </c>
    </row>
    <row r="73" spans="6:6" ht="33" customHeight="1" x14ac:dyDescent="0.3">
      <c r="F73" s="6">
        <v>46094</v>
      </c>
    </row>
    <row r="74" spans="6:6" ht="33" customHeight="1" x14ac:dyDescent="0.3">
      <c r="F74" s="6">
        <v>46095</v>
      </c>
    </row>
    <row r="75" spans="6:6" ht="33" customHeight="1" x14ac:dyDescent="0.3">
      <c r="F75" s="6">
        <v>46096</v>
      </c>
    </row>
    <row r="76" spans="6:6" ht="33" customHeight="1" x14ac:dyDescent="0.3">
      <c r="F76" s="6">
        <v>46097</v>
      </c>
    </row>
    <row r="77" spans="6:6" ht="33" customHeight="1" x14ac:dyDescent="0.3">
      <c r="F77" s="6">
        <v>46098</v>
      </c>
    </row>
    <row r="78" spans="6:6" ht="33" customHeight="1" x14ac:dyDescent="0.3">
      <c r="F78" s="6">
        <v>46099</v>
      </c>
    </row>
    <row r="79" spans="6:6" ht="33" customHeight="1" x14ac:dyDescent="0.3">
      <c r="F79" s="6">
        <v>46100</v>
      </c>
    </row>
    <row r="80" spans="6:6" ht="33" customHeight="1" x14ac:dyDescent="0.3">
      <c r="F80" s="6">
        <v>46101</v>
      </c>
    </row>
    <row r="81" spans="6:6" ht="33" customHeight="1" x14ac:dyDescent="0.3">
      <c r="F81" s="6">
        <v>46102</v>
      </c>
    </row>
    <row r="82" spans="6:6" ht="33" customHeight="1" x14ac:dyDescent="0.3">
      <c r="F82" s="6">
        <v>46103</v>
      </c>
    </row>
    <row r="83" spans="6:6" ht="33" customHeight="1" x14ac:dyDescent="0.3">
      <c r="F83" s="6">
        <v>46104</v>
      </c>
    </row>
    <row r="84" spans="6:6" ht="33" customHeight="1" x14ac:dyDescent="0.3">
      <c r="F84" s="6">
        <v>46105</v>
      </c>
    </row>
    <row r="85" spans="6:6" ht="33" customHeight="1" x14ac:dyDescent="0.3">
      <c r="F85" s="6">
        <v>46106</v>
      </c>
    </row>
    <row r="86" spans="6:6" ht="33" customHeight="1" x14ac:dyDescent="0.3">
      <c r="F86" s="6">
        <v>46107</v>
      </c>
    </row>
    <row r="87" spans="6:6" ht="33" customHeight="1" x14ac:dyDescent="0.3">
      <c r="F87" s="6">
        <v>46108</v>
      </c>
    </row>
    <row r="88" spans="6:6" ht="33" customHeight="1" x14ac:dyDescent="0.3">
      <c r="F88" s="6">
        <v>46109</v>
      </c>
    </row>
    <row r="89" spans="6:6" ht="33" customHeight="1" x14ac:dyDescent="0.3">
      <c r="F89" s="6">
        <v>46110</v>
      </c>
    </row>
    <row r="90" spans="6:6" ht="33" customHeight="1" x14ac:dyDescent="0.3">
      <c r="F90" s="6">
        <v>46111</v>
      </c>
    </row>
    <row r="91" spans="6:6" ht="33" customHeight="1" x14ac:dyDescent="0.3">
      <c r="F91" s="6">
        <v>46112</v>
      </c>
    </row>
    <row r="92" spans="6:6" ht="33" customHeight="1" x14ac:dyDescent="0.3">
      <c r="F92" s="6">
        <v>46113</v>
      </c>
    </row>
    <row r="93" spans="6:6" ht="33" customHeight="1" x14ac:dyDescent="0.3">
      <c r="F93" s="6">
        <v>46114</v>
      </c>
    </row>
    <row r="94" spans="6:6" ht="33" customHeight="1" x14ac:dyDescent="0.3">
      <c r="F94" s="6">
        <v>46115</v>
      </c>
    </row>
    <row r="95" spans="6:6" ht="33" customHeight="1" x14ac:dyDescent="0.3">
      <c r="F95" s="6">
        <v>46116</v>
      </c>
    </row>
    <row r="96" spans="6:6" ht="33" customHeight="1" x14ac:dyDescent="0.3">
      <c r="F96" s="6">
        <v>46117</v>
      </c>
    </row>
    <row r="97" spans="6:6" ht="33" customHeight="1" x14ac:dyDescent="0.3">
      <c r="F97" s="6">
        <v>46118</v>
      </c>
    </row>
    <row r="98" spans="6:6" ht="33" customHeight="1" x14ac:dyDescent="0.3">
      <c r="F98" s="6">
        <v>46119</v>
      </c>
    </row>
    <row r="99" spans="6:6" ht="33" customHeight="1" x14ac:dyDescent="0.3">
      <c r="F99" s="6">
        <v>46120</v>
      </c>
    </row>
    <row r="100" spans="6:6" ht="33" customHeight="1" x14ac:dyDescent="0.3">
      <c r="F100" s="6">
        <v>46121</v>
      </c>
    </row>
    <row r="101" spans="6:6" ht="33" customHeight="1" x14ac:dyDescent="0.3">
      <c r="F101" s="6">
        <v>46122</v>
      </c>
    </row>
    <row r="102" spans="6:6" ht="33" customHeight="1" x14ac:dyDescent="0.3">
      <c r="F102" s="6">
        <v>46123</v>
      </c>
    </row>
    <row r="103" spans="6:6" ht="33" customHeight="1" x14ac:dyDescent="0.3">
      <c r="F103" s="6">
        <v>46124</v>
      </c>
    </row>
    <row r="104" spans="6:6" ht="33" customHeight="1" x14ac:dyDescent="0.3">
      <c r="F104" s="6">
        <v>46125</v>
      </c>
    </row>
    <row r="105" spans="6:6" ht="33" customHeight="1" x14ac:dyDescent="0.3">
      <c r="F105" s="6">
        <v>46126</v>
      </c>
    </row>
    <row r="106" spans="6:6" ht="33" customHeight="1" x14ac:dyDescent="0.3">
      <c r="F106" s="6">
        <v>46127</v>
      </c>
    </row>
    <row r="107" spans="6:6" ht="33" customHeight="1" x14ac:dyDescent="0.3">
      <c r="F107" s="6">
        <v>46128</v>
      </c>
    </row>
    <row r="108" spans="6:6" ht="33" customHeight="1" x14ac:dyDescent="0.3">
      <c r="F108" s="6">
        <v>46129</v>
      </c>
    </row>
    <row r="109" spans="6:6" ht="33" customHeight="1" x14ac:dyDescent="0.3">
      <c r="F109" s="6">
        <v>46130</v>
      </c>
    </row>
    <row r="110" spans="6:6" ht="33" customHeight="1" x14ac:dyDescent="0.3">
      <c r="F110" s="6">
        <v>46131</v>
      </c>
    </row>
    <row r="111" spans="6:6" ht="33" customHeight="1" x14ac:dyDescent="0.3">
      <c r="F111" s="6">
        <v>46132</v>
      </c>
    </row>
    <row r="112" spans="6:6" ht="33" customHeight="1" x14ac:dyDescent="0.3">
      <c r="F112" s="6">
        <v>46133</v>
      </c>
    </row>
    <row r="113" spans="6:6" ht="33" customHeight="1" x14ac:dyDescent="0.3">
      <c r="F113" s="6">
        <v>46134</v>
      </c>
    </row>
    <row r="114" spans="6:6" ht="33" customHeight="1" x14ac:dyDescent="0.3">
      <c r="F114" s="6">
        <v>46135</v>
      </c>
    </row>
    <row r="115" spans="6:6" ht="33" customHeight="1" x14ac:dyDescent="0.3">
      <c r="F115" s="6">
        <v>46136</v>
      </c>
    </row>
    <row r="116" spans="6:6" ht="33" customHeight="1" x14ac:dyDescent="0.3">
      <c r="F116" s="6">
        <v>46137</v>
      </c>
    </row>
    <row r="117" spans="6:6" ht="33" customHeight="1" x14ac:dyDescent="0.3">
      <c r="F117" s="6">
        <v>46138</v>
      </c>
    </row>
    <row r="118" spans="6:6" ht="33" customHeight="1" x14ac:dyDescent="0.3">
      <c r="F118" s="6">
        <v>46139</v>
      </c>
    </row>
    <row r="119" spans="6:6" ht="33" customHeight="1" x14ac:dyDescent="0.3">
      <c r="F119" s="6">
        <v>46140</v>
      </c>
    </row>
    <row r="120" spans="6:6" ht="33" customHeight="1" x14ac:dyDescent="0.3">
      <c r="F120" s="6">
        <v>46141</v>
      </c>
    </row>
    <row r="121" spans="6:6" ht="33" customHeight="1" x14ac:dyDescent="0.3">
      <c r="F121" s="6">
        <v>46142</v>
      </c>
    </row>
    <row r="122" spans="6:6" ht="33" customHeight="1" x14ac:dyDescent="0.3">
      <c r="F122" s="6">
        <v>46143</v>
      </c>
    </row>
    <row r="123" spans="6:6" ht="33" customHeight="1" x14ac:dyDescent="0.3">
      <c r="F123" s="6">
        <v>46144</v>
      </c>
    </row>
    <row r="124" spans="6:6" ht="33" customHeight="1" x14ac:dyDescent="0.3">
      <c r="F124" s="6">
        <v>46145</v>
      </c>
    </row>
    <row r="125" spans="6:6" ht="33" customHeight="1" x14ac:dyDescent="0.3">
      <c r="F125" s="6">
        <v>46146</v>
      </c>
    </row>
    <row r="126" spans="6:6" ht="33" customHeight="1" x14ac:dyDescent="0.3">
      <c r="F126" s="6">
        <v>46147</v>
      </c>
    </row>
    <row r="127" spans="6:6" ht="33" customHeight="1" x14ac:dyDescent="0.3">
      <c r="F127" s="6">
        <v>46148</v>
      </c>
    </row>
    <row r="128" spans="6:6" ht="33" customHeight="1" x14ac:dyDescent="0.3">
      <c r="F128" s="6">
        <v>46149</v>
      </c>
    </row>
    <row r="129" spans="6:6" ht="33" customHeight="1" x14ac:dyDescent="0.3">
      <c r="F129" s="6">
        <v>46150</v>
      </c>
    </row>
    <row r="130" spans="6:6" ht="33" customHeight="1" x14ac:dyDescent="0.3">
      <c r="F130" s="6">
        <v>46151</v>
      </c>
    </row>
    <row r="131" spans="6:6" ht="33" customHeight="1" x14ac:dyDescent="0.3">
      <c r="F131" s="6">
        <v>46152</v>
      </c>
    </row>
    <row r="132" spans="6:6" ht="33" customHeight="1" x14ac:dyDescent="0.3">
      <c r="F132" s="6">
        <v>46153</v>
      </c>
    </row>
    <row r="133" spans="6:6" ht="33" customHeight="1" x14ac:dyDescent="0.3">
      <c r="F133" s="6">
        <v>46154</v>
      </c>
    </row>
    <row r="134" spans="6:6" ht="33" customHeight="1" x14ac:dyDescent="0.3">
      <c r="F134" s="6">
        <v>46155</v>
      </c>
    </row>
    <row r="135" spans="6:6" ht="33" customHeight="1" x14ac:dyDescent="0.3">
      <c r="F135" s="6">
        <v>46156</v>
      </c>
    </row>
    <row r="136" spans="6:6" ht="33" customHeight="1" x14ac:dyDescent="0.3">
      <c r="F136" s="6">
        <v>46157</v>
      </c>
    </row>
    <row r="137" spans="6:6" ht="33" customHeight="1" x14ac:dyDescent="0.3">
      <c r="F137" s="6">
        <v>46158</v>
      </c>
    </row>
    <row r="138" spans="6:6" ht="33" customHeight="1" x14ac:dyDescent="0.3">
      <c r="F138" s="6">
        <v>46159</v>
      </c>
    </row>
    <row r="139" spans="6:6" ht="33" customHeight="1" x14ac:dyDescent="0.3">
      <c r="F139" s="6">
        <v>46160</v>
      </c>
    </row>
    <row r="140" spans="6:6" ht="33" customHeight="1" x14ac:dyDescent="0.3">
      <c r="F140" s="6">
        <v>46161</v>
      </c>
    </row>
    <row r="141" spans="6:6" ht="33" customHeight="1" x14ac:dyDescent="0.3">
      <c r="F141" s="6">
        <v>46162</v>
      </c>
    </row>
    <row r="142" spans="6:6" ht="33" customHeight="1" x14ac:dyDescent="0.3">
      <c r="F142" s="6">
        <v>46163</v>
      </c>
    </row>
    <row r="143" spans="6:6" ht="33" customHeight="1" x14ac:dyDescent="0.3">
      <c r="F143" s="6">
        <v>46164</v>
      </c>
    </row>
    <row r="144" spans="6:6" ht="33" customHeight="1" x14ac:dyDescent="0.3">
      <c r="F144" s="6">
        <v>46165</v>
      </c>
    </row>
    <row r="145" spans="6:6" ht="33" customHeight="1" x14ac:dyDescent="0.3">
      <c r="F145" s="6">
        <v>46166</v>
      </c>
    </row>
    <row r="146" spans="6:6" ht="33" customHeight="1" x14ac:dyDescent="0.3">
      <c r="F146" s="6">
        <v>46167</v>
      </c>
    </row>
    <row r="147" spans="6:6" ht="33" customHeight="1" x14ac:dyDescent="0.3">
      <c r="F147" s="6">
        <v>46168</v>
      </c>
    </row>
    <row r="148" spans="6:6" ht="33" customHeight="1" x14ac:dyDescent="0.3">
      <c r="F148" s="6">
        <v>46169</v>
      </c>
    </row>
    <row r="149" spans="6:6" ht="33" customHeight="1" x14ac:dyDescent="0.3">
      <c r="F149" s="6">
        <v>46170</v>
      </c>
    </row>
    <row r="150" spans="6:6" ht="33" customHeight="1" x14ac:dyDescent="0.3">
      <c r="F150" s="6">
        <v>46171</v>
      </c>
    </row>
    <row r="151" spans="6:6" ht="33" customHeight="1" x14ac:dyDescent="0.3">
      <c r="F151" s="6">
        <v>46172</v>
      </c>
    </row>
    <row r="152" spans="6:6" ht="33" customHeight="1" x14ac:dyDescent="0.3">
      <c r="F152" s="6">
        <v>46173</v>
      </c>
    </row>
    <row r="153" spans="6:6" ht="33" customHeight="1" x14ac:dyDescent="0.3">
      <c r="F153" s="6">
        <v>46174</v>
      </c>
    </row>
    <row r="154" spans="6:6" ht="33" customHeight="1" x14ac:dyDescent="0.3">
      <c r="F154" s="6">
        <v>46175</v>
      </c>
    </row>
    <row r="155" spans="6:6" ht="33" customHeight="1" x14ac:dyDescent="0.3">
      <c r="F155" s="6">
        <v>46176</v>
      </c>
    </row>
    <row r="156" spans="6:6" ht="33" customHeight="1" x14ac:dyDescent="0.3">
      <c r="F156" s="6">
        <v>46177</v>
      </c>
    </row>
    <row r="157" spans="6:6" ht="33" customHeight="1" x14ac:dyDescent="0.3">
      <c r="F157" s="6">
        <v>46178</v>
      </c>
    </row>
    <row r="158" spans="6:6" ht="33" customHeight="1" x14ac:dyDescent="0.3">
      <c r="F158" s="6">
        <v>46179</v>
      </c>
    </row>
    <row r="159" spans="6:6" ht="33" customHeight="1" x14ac:dyDescent="0.3">
      <c r="F159" s="6">
        <v>46180</v>
      </c>
    </row>
    <row r="160" spans="6:6" ht="33" customHeight="1" x14ac:dyDescent="0.3">
      <c r="F160" s="6">
        <v>46181</v>
      </c>
    </row>
    <row r="161" spans="6:6" ht="33" customHeight="1" x14ac:dyDescent="0.3">
      <c r="F161" s="6">
        <v>46182</v>
      </c>
    </row>
    <row r="162" spans="6:6" ht="33" customHeight="1" x14ac:dyDescent="0.3">
      <c r="F162" s="6">
        <v>46183</v>
      </c>
    </row>
    <row r="163" spans="6:6" ht="33" customHeight="1" x14ac:dyDescent="0.3">
      <c r="F163" s="6">
        <v>46184</v>
      </c>
    </row>
    <row r="164" spans="6:6" ht="33" customHeight="1" x14ac:dyDescent="0.3">
      <c r="F164" s="6">
        <v>46185</v>
      </c>
    </row>
    <row r="165" spans="6:6" ht="33" customHeight="1" x14ac:dyDescent="0.3">
      <c r="F165" s="6">
        <v>46186</v>
      </c>
    </row>
    <row r="166" spans="6:6" ht="33" customHeight="1" x14ac:dyDescent="0.3">
      <c r="F166" s="6">
        <v>46187</v>
      </c>
    </row>
    <row r="167" spans="6:6" ht="33" customHeight="1" x14ac:dyDescent="0.3">
      <c r="F167" s="6">
        <v>46188</v>
      </c>
    </row>
    <row r="168" spans="6:6" ht="33" customHeight="1" x14ac:dyDescent="0.3">
      <c r="F168" s="6">
        <v>46189</v>
      </c>
    </row>
    <row r="169" spans="6:6" ht="33" customHeight="1" x14ac:dyDescent="0.3">
      <c r="F169" s="6">
        <v>46190</v>
      </c>
    </row>
    <row r="170" spans="6:6" ht="33" customHeight="1" x14ac:dyDescent="0.3">
      <c r="F170" s="6">
        <v>46191</v>
      </c>
    </row>
    <row r="171" spans="6:6" ht="33" customHeight="1" x14ac:dyDescent="0.3">
      <c r="F171" s="6">
        <v>46192</v>
      </c>
    </row>
    <row r="172" spans="6:6" ht="33" customHeight="1" x14ac:dyDescent="0.3">
      <c r="F172" s="6">
        <v>46193</v>
      </c>
    </row>
    <row r="173" spans="6:6" ht="33" customHeight="1" x14ac:dyDescent="0.3">
      <c r="F173" s="6">
        <v>46194</v>
      </c>
    </row>
    <row r="174" spans="6:6" ht="33" customHeight="1" x14ac:dyDescent="0.3">
      <c r="F174" s="6">
        <v>46195</v>
      </c>
    </row>
    <row r="175" spans="6:6" ht="33" customHeight="1" x14ac:dyDescent="0.3">
      <c r="F175" s="6">
        <v>46196</v>
      </c>
    </row>
    <row r="176" spans="6:6" ht="33" customHeight="1" x14ac:dyDescent="0.3">
      <c r="F176" s="6">
        <v>46197</v>
      </c>
    </row>
    <row r="177" spans="6:6" ht="33" customHeight="1" x14ac:dyDescent="0.3">
      <c r="F177" s="6">
        <v>46198</v>
      </c>
    </row>
    <row r="178" spans="6:6" ht="33" customHeight="1" x14ac:dyDescent="0.3">
      <c r="F178" s="6">
        <v>46199</v>
      </c>
    </row>
    <row r="179" spans="6:6" ht="33" customHeight="1" x14ac:dyDescent="0.3">
      <c r="F179" s="6">
        <v>46200</v>
      </c>
    </row>
    <row r="180" spans="6:6" ht="33" customHeight="1" x14ac:dyDescent="0.3">
      <c r="F180" s="6">
        <v>46201</v>
      </c>
    </row>
    <row r="181" spans="6:6" ht="33" customHeight="1" x14ac:dyDescent="0.3">
      <c r="F181" s="6">
        <v>46202</v>
      </c>
    </row>
    <row r="182" spans="6:6" ht="33" customHeight="1" x14ac:dyDescent="0.3">
      <c r="F182" s="6">
        <v>46203</v>
      </c>
    </row>
    <row r="183" spans="6:6" ht="33" customHeight="1" x14ac:dyDescent="0.3">
      <c r="F183" s="6">
        <v>46204</v>
      </c>
    </row>
    <row r="184" spans="6:6" ht="33" customHeight="1" x14ac:dyDescent="0.3">
      <c r="F184" s="6">
        <v>46205</v>
      </c>
    </row>
    <row r="185" spans="6:6" ht="33" customHeight="1" x14ac:dyDescent="0.3">
      <c r="F185" s="6">
        <v>46206</v>
      </c>
    </row>
    <row r="186" spans="6:6" ht="33" customHeight="1" x14ac:dyDescent="0.3">
      <c r="F186" s="6">
        <v>46207</v>
      </c>
    </row>
    <row r="187" spans="6:6" ht="33" customHeight="1" x14ac:dyDescent="0.3">
      <c r="F187" s="6">
        <v>46208</v>
      </c>
    </row>
    <row r="188" spans="6:6" ht="33" customHeight="1" x14ac:dyDescent="0.3">
      <c r="F188" s="6">
        <v>46209</v>
      </c>
    </row>
    <row r="189" spans="6:6" ht="33" customHeight="1" x14ac:dyDescent="0.3">
      <c r="F189" s="6">
        <v>46210</v>
      </c>
    </row>
    <row r="190" spans="6:6" ht="33" customHeight="1" x14ac:dyDescent="0.3">
      <c r="F190" s="6">
        <v>46211</v>
      </c>
    </row>
    <row r="191" spans="6:6" ht="33" customHeight="1" x14ac:dyDescent="0.3">
      <c r="F191" s="6">
        <v>46212</v>
      </c>
    </row>
    <row r="192" spans="6:6" ht="33" customHeight="1" x14ac:dyDescent="0.3">
      <c r="F192" s="6">
        <v>46213</v>
      </c>
    </row>
    <row r="193" spans="6:6" ht="33" customHeight="1" x14ac:dyDescent="0.3">
      <c r="F193" s="6">
        <v>46214</v>
      </c>
    </row>
    <row r="194" spans="6:6" ht="33" customHeight="1" x14ac:dyDescent="0.3">
      <c r="F194" s="6">
        <v>46215</v>
      </c>
    </row>
    <row r="195" spans="6:6" ht="33" customHeight="1" x14ac:dyDescent="0.3">
      <c r="F195" s="6">
        <v>46216</v>
      </c>
    </row>
    <row r="196" spans="6:6" ht="33" customHeight="1" x14ac:dyDescent="0.3">
      <c r="F196" s="6">
        <v>46217</v>
      </c>
    </row>
    <row r="197" spans="6:6" ht="33" customHeight="1" x14ac:dyDescent="0.3">
      <c r="F197" s="6">
        <v>46218</v>
      </c>
    </row>
    <row r="198" spans="6:6" ht="33" customHeight="1" x14ac:dyDescent="0.3">
      <c r="F198" s="6">
        <v>46219</v>
      </c>
    </row>
    <row r="199" spans="6:6" ht="33" customHeight="1" x14ac:dyDescent="0.3">
      <c r="F199" s="6">
        <v>46220</v>
      </c>
    </row>
    <row r="200" spans="6:6" ht="33" customHeight="1" x14ac:dyDescent="0.3">
      <c r="F200" s="6">
        <v>46221</v>
      </c>
    </row>
    <row r="201" spans="6:6" ht="33" customHeight="1" x14ac:dyDescent="0.3">
      <c r="F201" s="6">
        <v>46222</v>
      </c>
    </row>
    <row r="202" spans="6:6" ht="33" customHeight="1" x14ac:dyDescent="0.3">
      <c r="F202" s="6">
        <v>46223</v>
      </c>
    </row>
    <row r="203" spans="6:6" ht="33" customHeight="1" x14ac:dyDescent="0.3">
      <c r="F203" s="6">
        <v>46224</v>
      </c>
    </row>
    <row r="204" spans="6:6" ht="33" customHeight="1" x14ac:dyDescent="0.3">
      <c r="F204" s="6">
        <v>46225</v>
      </c>
    </row>
    <row r="205" spans="6:6" ht="33" customHeight="1" x14ac:dyDescent="0.3">
      <c r="F205" s="6">
        <v>46226</v>
      </c>
    </row>
    <row r="206" spans="6:6" ht="33" customHeight="1" x14ac:dyDescent="0.3">
      <c r="F206" s="6">
        <v>46227</v>
      </c>
    </row>
    <row r="207" spans="6:6" ht="33" customHeight="1" x14ac:dyDescent="0.3">
      <c r="F207" s="6">
        <v>46228</v>
      </c>
    </row>
    <row r="208" spans="6:6" ht="33" customHeight="1" x14ac:dyDescent="0.3">
      <c r="F208" s="6">
        <v>46229</v>
      </c>
    </row>
    <row r="209" spans="6:6" ht="33" customHeight="1" x14ac:dyDescent="0.3">
      <c r="F209" s="6">
        <v>46230</v>
      </c>
    </row>
    <row r="210" spans="6:6" ht="33" customHeight="1" x14ac:dyDescent="0.3">
      <c r="F210" s="6">
        <v>46231</v>
      </c>
    </row>
    <row r="211" spans="6:6" ht="33" customHeight="1" x14ac:dyDescent="0.3">
      <c r="F211" s="6">
        <v>46232</v>
      </c>
    </row>
    <row r="212" spans="6:6" ht="33" customHeight="1" x14ac:dyDescent="0.3">
      <c r="F212" s="6">
        <v>46233</v>
      </c>
    </row>
    <row r="213" spans="6:6" ht="33" customHeight="1" x14ac:dyDescent="0.3">
      <c r="F213" s="6">
        <v>46234</v>
      </c>
    </row>
    <row r="214" spans="6:6" ht="33" customHeight="1" x14ac:dyDescent="0.3">
      <c r="F214" s="6">
        <v>46235</v>
      </c>
    </row>
    <row r="215" spans="6:6" ht="33" customHeight="1" x14ac:dyDescent="0.3">
      <c r="F215" s="6">
        <v>46236</v>
      </c>
    </row>
    <row r="216" spans="6:6" ht="33" customHeight="1" x14ac:dyDescent="0.3">
      <c r="F216" s="6">
        <v>46237</v>
      </c>
    </row>
    <row r="217" spans="6:6" ht="33" customHeight="1" x14ac:dyDescent="0.3">
      <c r="F217" s="6">
        <v>46238</v>
      </c>
    </row>
    <row r="218" spans="6:6" ht="33" customHeight="1" x14ac:dyDescent="0.3">
      <c r="F218" s="6">
        <v>46239</v>
      </c>
    </row>
    <row r="219" spans="6:6" ht="33" customHeight="1" x14ac:dyDescent="0.3">
      <c r="F219" s="6">
        <v>46240</v>
      </c>
    </row>
    <row r="220" spans="6:6" ht="33" customHeight="1" x14ac:dyDescent="0.3">
      <c r="F220" s="6">
        <v>46241</v>
      </c>
    </row>
    <row r="221" spans="6:6" ht="33" customHeight="1" x14ac:dyDescent="0.3">
      <c r="F221" s="6">
        <v>46242</v>
      </c>
    </row>
    <row r="222" spans="6:6" ht="33" customHeight="1" x14ac:dyDescent="0.3">
      <c r="F222" s="6">
        <v>46243</v>
      </c>
    </row>
    <row r="223" spans="6:6" ht="33" customHeight="1" x14ac:dyDescent="0.3">
      <c r="F223" s="6">
        <v>46244</v>
      </c>
    </row>
    <row r="224" spans="6:6" ht="33" customHeight="1" x14ac:dyDescent="0.3">
      <c r="F224" s="6">
        <v>46245</v>
      </c>
    </row>
    <row r="225" spans="6:6" ht="33" customHeight="1" x14ac:dyDescent="0.3">
      <c r="F225" s="6">
        <v>46246</v>
      </c>
    </row>
    <row r="226" spans="6:6" ht="33" customHeight="1" x14ac:dyDescent="0.3">
      <c r="F226" s="6">
        <v>46247</v>
      </c>
    </row>
    <row r="227" spans="6:6" ht="33" customHeight="1" x14ac:dyDescent="0.3">
      <c r="F227" s="6">
        <v>46248</v>
      </c>
    </row>
    <row r="228" spans="6:6" ht="33" customHeight="1" x14ac:dyDescent="0.3">
      <c r="F228" s="6">
        <v>46249</v>
      </c>
    </row>
    <row r="229" spans="6:6" ht="33" customHeight="1" x14ac:dyDescent="0.3">
      <c r="F229" s="6">
        <v>46250</v>
      </c>
    </row>
    <row r="230" spans="6:6" ht="33" customHeight="1" x14ac:dyDescent="0.3">
      <c r="F230" s="6">
        <v>46251</v>
      </c>
    </row>
    <row r="231" spans="6:6" ht="33" customHeight="1" x14ac:dyDescent="0.3">
      <c r="F231" s="6">
        <v>46252</v>
      </c>
    </row>
    <row r="232" spans="6:6" ht="33" customHeight="1" x14ac:dyDescent="0.3">
      <c r="F232" s="6">
        <v>46253</v>
      </c>
    </row>
    <row r="233" spans="6:6" ht="33" customHeight="1" x14ac:dyDescent="0.3">
      <c r="F233" s="6">
        <v>46254</v>
      </c>
    </row>
    <row r="234" spans="6:6" ht="33" customHeight="1" x14ac:dyDescent="0.3">
      <c r="F234" s="6">
        <v>46255</v>
      </c>
    </row>
    <row r="235" spans="6:6" ht="33" customHeight="1" x14ac:dyDescent="0.3">
      <c r="F235" s="6">
        <v>46256</v>
      </c>
    </row>
    <row r="236" spans="6:6" ht="33" customHeight="1" x14ac:dyDescent="0.3">
      <c r="F236" s="6">
        <v>46257</v>
      </c>
    </row>
    <row r="237" spans="6:6" ht="33" customHeight="1" x14ac:dyDescent="0.3">
      <c r="F237" s="6">
        <v>46258</v>
      </c>
    </row>
    <row r="238" spans="6:6" ht="33" customHeight="1" x14ac:dyDescent="0.3">
      <c r="F238" s="6">
        <v>46259</v>
      </c>
    </row>
    <row r="239" spans="6:6" ht="33" customHeight="1" x14ac:dyDescent="0.3">
      <c r="F239" s="6">
        <v>46260</v>
      </c>
    </row>
    <row r="240" spans="6:6" ht="33" customHeight="1" x14ac:dyDescent="0.3">
      <c r="F240" s="6">
        <v>46261</v>
      </c>
    </row>
    <row r="241" spans="6:6" ht="33" customHeight="1" x14ac:dyDescent="0.3">
      <c r="F241" s="6">
        <v>46262</v>
      </c>
    </row>
    <row r="242" spans="6:6" ht="33" customHeight="1" x14ac:dyDescent="0.3">
      <c r="F242" s="6">
        <v>46263</v>
      </c>
    </row>
    <row r="243" spans="6:6" ht="33" customHeight="1" x14ac:dyDescent="0.3">
      <c r="F243" s="6">
        <v>46264</v>
      </c>
    </row>
    <row r="244" spans="6:6" ht="33" customHeight="1" x14ac:dyDescent="0.3">
      <c r="F244" s="6">
        <v>46265</v>
      </c>
    </row>
    <row r="245" spans="6:6" ht="33" customHeight="1" x14ac:dyDescent="0.3">
      <c r="F245" s="6">
        <v>46266</v>
      </c>
    </row>
    <row r="246" spans="6:6" ht="33" customHeight="1" x14ac:dyDescent="0.3">
      <c r="F246" s="6">
        <v>46267</v>
      </c>
    </row>
    <row r="247" spans="6:6" ht="33" customHeight="1" x14ac:dyDescent="0.3">
      <c r="F247" s="6">
        <v>46268</v>
      </c>
    </row>
    <row r="248" spans="6:6" ht="33" customHeight="1" x14ac:dyDescent="0.3">
      <c r="F248" s="6">
        <v>46269</v>
      </c>
    </row>
    <row r="249" spans="6:6" ht="33" customHeight="1" x14ac:dyDescent="0.3">
      <c r="F249" s="6">
        <v>46270</v>
      </c>
    </row>
    <row r="250" spans="6:6" ht="33" customHeight="1" x14ac:dyDescent="0.3">
      <c r="F250" s="6">
        <v>46271</v>
      </c>
    </row>
    <row r="251" spans="6:6" ht="33" customHeight="1" x14ac:dyDescent="0.3">
      <c r="F251" s="6">
        <v>46272</v>
      </c>
    </row>
    <row r="252" spans="6:6" ht="33" customHeight="1" x14ac:dyDescent="0.3">
      <c r="F252" s="6">
        <v>46273</v>
      </c>
    </row>
    <row r="253" spans="6:6" ht="33" customHeight="1" x14ac:dyDescent="0.3">
      <c r="F253" s="6">
        <v>46274</v>
      </c>
    </row>
    <row r="254" spans="6:6" ht="33" customHeight="1" x14ac:dyDescent="0.3">
      <c r="F254" s="6">
        <v>46275</v>
      </c>
    </row>
    <row r="255" spans="6:6" ht="33" customHeight="1" x14ac:dyDescent="0.3">
      <c r="F255" s="6">
        <v>46276</v>
      </c>
    </row>
    <row r="256" spans="6:6" ht="33" customHeight="1" x14ac:dyDescent="0.3">
      <c r="F256" s="6">
        <v>46277</v>
      </c>
    </row>
    <row r="257" spans="6:6" ht="33" customHeight="1" x14ac:dyDescent="0.3">
      <c r="F257" s="6">
        <v>46278</v>
      </c>
    </row>
    <row r="258" spans="6:6" ht="33" customHeight="1" x14ac:dyDescent="0.3">
      <c r="F258" s="6">
        <v>46279</v>
      </c>
    </row>
    <row r="259" spans="6:6" ht="33" customHeight="1" x14ac:dyDescent="0.3">
      <c r="F259" s="6">
        <v>46280</v>
      </c>
    </row>
    <row r="260" spans="6:6" ht="33" customHeight="1" x14ac:dyDescent="0.3">
      <c r="F260" s="6">
        <v>46281</v>
      </c>
    </row>
    <row r="261" spans="6:6" ht="33" customHeight="1" x14ac:dyDescent="0.3">
      <c r="F261" s="6">
        <v>46282</v>
      </c>
    </row>
    <row r="262" spans="6:6" ht="33" customHeight="1" x14ac:dyDescent="0.3">
      <c r="F262" s="6">
        <v>46283</v>
      </c>
    </row>
    <row r="263" spans="6:6" ht="33" customHeight="1" x14ac:dyDescent="0.3">
      <c r="F263" s="6">
        <v>46284</v>
      </c>
    </row>
    <row r="264" spans="6:6" ht="33" customHeight="1" x14ac:dyDescent="0.3">
      <c r="F264" s="6">
        <v>46285</v>
      </c>
    </row>
    <row r="265" spans="6:6" ht="33" customHeight="1" x14ac:dyDescent="0.3">
      <c r="F265" s="6">
        <v>46286</v>
      </c>
    </row>
    <row r="266" spans="6:6" ht="33" customHeight="1" x14ac:dyDescent="0.3">
      <c r="F266" s="6">
        <v>46287</v>
      </c>
    </row>
    <row r="267" spans="6:6" ht="33" customHeight="1" x14ac:dyDescent="0.3">
      <c r="F267" s="6">
        <v>46288</v>
      </c>
    </row>
    <row r="268" spans="6:6" ht="33" customHeight="1" x14ac:dyDescent="0.3">
      <c r="F268" s="6">
        <v>46289</v>
      </c>
    </row>
    <row r="269" spans="6:6" ht="33" customHeight="1" x14ac:dyDescent="0.3">
      <c r="F269" s="6">
        <v>46290</v>
      </c>
    </row>
    <row r="270" spans="6:6" ht="33" customHeight="1" x14ac:dyDescent="0.3">
      <c r="F270" s="6">
        <v>46291</v>
      </c>
    </row>
    <row r="271" spans="6:6" ht="33" customHeight="1" x14ac:dyDescent="0.3">
      <c r="F271" s="6">
        <v>46292</v>
      </c>
    </row>
    <row r="272" spans="6:6" ht="33" customHeight="1" x14ac:dyDescent="0.3">
      <c r="F272" s="6">
        <v>46293</v>
      </c>
    </row>
    <row r="273" spans="6:6" ht="33" customHeight="1" x14ac:dyDescent="0.3">
      <c r="F273" s="6">
        <v>46294</v>
      </c>
    </row>
    <row r="274" spans="6:6" ht="33" customHeight="1" x14ac:dyDescent="0.3">
      <c r="F274" s="6">
        <v>46295</v>
      </c>
    </row>
    <row r="275" spans="6:6" ht="33" customHeight="1" x14ac:dyDescent="0.3">
      <c r="F275" s="6">
        <v>46296</v>
      </c>
    </row>
    <row r="276" spans="6:6" ht="33" customHeight="1" x14ac:dyDescent="0.3">
      <c r="F276" s="6">
        <v>46297</v>
      </c>
    </row>
    <row r="277" spans="6:6" ht="33" customHeight="1" x14ac:dyDescent="0.3">
      <c r="F277" s="6">
        <v>46298</v>
      </c>
    </row>
    <row r="278" spans="6:6" ht="33" customHeight="1" x14ac:dyDescent="0.3">
      <c r="F278" s="6">
        <v>46299</v>
      </c>
    </row>
    <row r="279" spans="6:6" ht="33" customHeight="1" x14ac:dyDescent="0.3">
      <c r="F279" s="6">
        <v>46300</v>
      </c>
    </row>
    <row r="280" spans="6:6" ht="33" customHeight="1" x14ac:dyDescent="0.3">
      <c r="F280" s="6">
        <v>46301</v>
      </c>
    </row>
    <row r="281" spans="6:6" ht="33" customHeight="1" x14ac:dyDescent="0.3">
      <c r="F281" s="6">
        <v>46302</v>
      </c>
    </row>
    <row r="282" spans="6:6" ht="33" customHeight="1" x14ac:dyDescent="0.3">
      <c r="F282" s="6">
        <v>46303</v>
      </c>
    </row>
    <row r="283" spans="6:6" ht="33" customHeight="1" x14ac:dyDescent="0.3">
      <c r="F283" s="6">
        <v>46304</v>
      </c>
    </row>
    <row r="284" spans="6:6" ht="33" customHeight="1" x14ac:dyDescent="0.3">
      <c r="F284" s="6">
        <v>46305</v>
      </c>
    </row>
    <row r="285" spans="6:6" ht="33" customHeight="1" x14ac:dyDescent="0.3">
      <c r="F285" s="6">
        <v>46306</v>
      </c>
    </row>
    <row r="286" spans="6:6" ht="33" customHeight="1" x14ac:dyDescent="0.3">
      <c r="F286" s="6">
        <v>46307</v>
      </c>
    </row>
    <row r="287" spans="6:6" ht="33" customHeight="1" x14ac:dyDescent="0.3">
      <c r="F287" s="6">
        <v>46308</v>
      </c>
    </row>
    <row r="288" spans="6:6" ht="33" customHeight="1" x14ac:dyDescent="0.3">
      <c r="F288" s="6">
        <v>46309</v>
      </c>
    </row>
    <row r="289" spans="6:6" ht="33" customHeight="1" x14ac:dyDescent="0.3">
      <c r="F289" s="6">
        <v>46310</v>
      </c>
    </row>
    <row r="290" spans="6:6" ht="33" customHeight="1" x14ac:dyDescent="0.3">
      <c r="F290" s="6">
        <v>46311</v>
      </c>
    </row>
    <row r="291" spans="6:6" ht="33" customHeight="1" x14ac:dyDescent="0.3">
      <c r="F291" s="6">
        <v>46312</v>
      </c>
    </row>
    <row r="292" spans="6:6" ht="33" customHeight="1" x14ac:dyDescent="0.3">
      <c r="F292" s="6">
        <v>46313</v>
      </c>
    </row>
    <row r="293" spans="6:6" ht="33" customHeight="1" x14ac:dyDescent="0.3">
      <c r="F293" s="6">
        <v>46314</v>
      </c>
    </row>
    <row r="294" spans="6:6" ht="33" customHeight="1" x14ac:dyDescent="0.3">
      <c r="F294" s="6">
        <v>46315</v>
      </c>
    </row>
    <row r="295" spans="6:6" ht="33" customHeight="1" x14ac:dyDescent="0.3">
      <c r="F295" s="6">
        <v>46316</v>
      </c>
    </row>
    <row r="296" spans="6:6" ht="33" customHeight="1" x14ac:dyDescent="0.3">
      <c r="F296" s="6">
        <v>46317</v>
      </c>
    </row>
    <row r="297" spans="6:6" ht="33" customHeight="1" x14ac:dyDescent="0.3">
      <c r="F297" s="6">
        <v>46318</v>
      </c>
    </row>
    <row r="298" spans="6:6" ht="33" customHeight="1" x14ac:dyDescent="0.3">
      <c r="F298" s="6">
        <v>46319</v>
      </c>
    </row>
    <row r="299" spans="6:6" ht="33" customHeight="1" x14ac:dyDescent="0.3">
      <c r="F299" s="6">
        <v>46320</v>
      </c>
    </row>
    <row r="300" spans="6:6" ht="33" customHeight="1" x14ac:dyDescent="0.3">
      <c r="F300" s="6">
        <v>46321</v>
      </c>
    </row>
    <row r="301" spans="6:6" ht="33" customHeight="1" x14ac:dyDescent="0.3">
      <c r="F301" s="6">
        <v>46322</v>
      </c>
    </row>
    <row r="302" spans="6:6" ht="33" customHeight="1" x14ac:dyDescent="0.3">
      <c r="F302" s="6">
        <v>46323</v>
      </c>
    </row>
    <row r="303" spans="6:6" ht="33" customHeight="1" x14ac:dyDescent="0.3">
      <c r="F303" s="6">
        <v>46324</v>
      </c>
    </row>
    <row r="304" spans="6:6" ht="33" customHeight="1" x14ac:dyDescent="0.3">
      <c r="F304" s="6">
        <v>46325</v>
      </c>
    </row>
    <row r="305" spans="6:6" ht="33" customHeight="1" x14ac:dyDescent="0.3">
      <c r="F305" s="6">
        <v>46326</v>
      </c>
    </row>
    <row r="306" spans="6:6" ht="33" customHeight="1" x14ac:dyDescent="0.3">
      <c r="F306" s="6">
        <v>46327</v>
      </c>
    </row>
    <row r="307" spans="6:6" ht="33" customHeight="1" x14ac:dyDescent="0.3">
      <c r="F307" s="6">
        <v>46328</v>
      </c>
    </row>
    <row r="308" spans="6:6" ht="33" customHeight="1" x14ac:dyDescent="0.3">
      <c r="F308" s="6">
        <v>46329</v>
      </c>
    </row>
    <row r="309" spans="6:6" ht="33" customHeight="1" x14ac:dyDescent="0.3">
      <c r="F309" s="6">
        <v>46330</v>
      </c>
    </row>
    <row r="310" spans="6:6" ht="33" customHeight="1" x14ac:dyDescent="0.3">
      <c r="F310" s="6">
        <v>46331</v>
      </c>
    </row>
    <row r="311" spans="6:6" ht="33" customHeight="1" x14ac:dyDescent="0.3">
      <c r="F311" s="6">
        <v>46332</v>
      </c>
    </row>
    <row r="312" spans="6:6" ht="33" customHeight="1" x14ac:dyDescent="0.3">
      <c r="F312" s="6">
        <v>46333</v>
      </c>
    </row>
    <row r="313" spans="6:6" ht="33" customHeight="1" x14ac:dyDescent="0.3">
      <c r="F313" s="6">
        <v>46334</v>
      </c>
    </row>
    <row r="314" spans="6:6" ht="33" customHeight="1" x14ac:dyDescent="0.3">
      <c r="F314" s="6">
        <v>46335</v>
      </c>
    </row>
    <row r="315" spans="6:6" ht="33" customHeight="1" x14ac:dyDescent="0.3">
      <c r="F315" s="6">
        <v>46336</v>
      </c>
    </row>
    <row r="316" spans="6:6" ht="33" customHeight="1" x14ac:dyDescent="0.3">
      <c r="F316" s="6">
        <v>46337</v>
      </c>
    </row>
    <row r="317" spans="6:6" ht="33" customHeight="1" x14ac:dyDescent="0.3">
      <c r="F317" s="6">
        <v>46338</v>
      </c>
    </row>
    <row r="318" spans="6:6" ht="33" customHeight="1" x14ac:dyDescent="0.3">
      <c r="F318" s="6">
        <v>46339</v>
      </c>
    </row>
    <row r="319" spans="6:6" ht="33" customHeight="1" x14ac:dyDescent="0.3">
      <c r="F319" s="6">
        <v>46340</v>
      </c>
    </row>
    <row r="320" spans="6:6" ht="33" customHeight="1" x14ac:dyDescent="0.3">
      <c r="F320" s="6">
        <v>46341</v>
      </c>
    </row>
    <row r="321" spans="6:6" ht="33" customHeight="1" x14ac:dyDescent="0.3">
      <c r="F321" s="6">
        <v>46342</v>
      </c>
    </row>
    <row r="322" spans="6:6" ht="33" customHeight="1" x14ac:dyDescent="0.3">
      <c r="F322" s="6">
        <v>46343</v>
      </c>
    </row>
    <row r="323" spans="6:6" ht="33" customHeight="1" x14ac:dyDescent="0.3">
      <c r="F323" s="6">
        <v>46344</v>
      </c>
    </row>
    <row r="324" spans="6:6" ht="33" customHeight="1" x14ac:dyDescent="0.3">
      <c r="F324" s="6">
        <v>46345</v>
      </c>
    </row>
    <row r="325" spans="6:6" ht="33" customHeight="1" x14ac:dyDescent="0.3">
      <c r="F325" s="6">
        <v>46346</v>
      </c>
    </row>
    <row r="326" spans="6:6" ht="33" customHeight="1" x14ac:dyDescent="0.3">
      <c r="F326" s="6">
        <v>46347</v>
      </c>
    </row>
    <row r="327" spans="6:6" ht="33" customHeight="1" x14ac:dyDescent="0.3">
      <c r="F327" s="6">
        <v>46348</v>
      </c>
    </row>
    <row r="328" spans="6:6" ht="33" customHeight="1" x14ac:dyDescent="0.3">
      <c r="F328" s="6">
        <v>46349</v>
      </c>
    </row>
    <row r="329" spans="6:6" ht="33" customHeight="1" x14ac:dyDescent="0.3">
      <c r="F329" s="6">
        <v>46350</v>
      </c>
    </row>
    <row r="330" spans="6:6" ht="33" customHeight="1" x14ac:dyDescent="0.3">
      <c r="F330" s="6">
        <v>46351</v>
      </c>
    </row>
    <row r="331" spans="6:6" ht="33" customHeight="1" x14ac:dyDescent="0.3">
      <c r="F331" s="6">
        <v>46352</v>
      </c>
    </row>
    <row r="332" spans="6:6" ht="33" customHeight="1" x14ac:dyDescent="0.3">
      <c r="F332" s="6">
        <v>46353</v>
      </c>
    </row>
    <row r="333" spans="6:6" ht="33" customHeight="1" x14ac:dyDescent="0.3">
      <c r="F333" s="6">
        <v>46354</v>
      </c>
    </row>
    <row r="334" spans="6:6" ht="33" customHeight="1" x14ac:dyDescent="0.3">
      <c r="F334" s="6">
        <v>46355</v>
      </c>
    </row>
    <row r="335" spans="6:6" ht="33" customHeight="1" x14ac:dyDescent="0.3">
      <c r="F335" s="6">
        <v>46356</v>
      </c>
    </row>
    <row r="336" spans="6:6" ht="33" customHeight="1" x14ac:dyDescent="0.3">
      <c r="F336" s="6">
        <v>46357</v>
      </c>
    </row>
    <row r="337" spans="6:6" ht="33" customHeight="1" x14ac:dyDescent="0.3">
      <c r="F337" s="6">
        <v>46358</v>
      </c>
    </row>
    <row r="338" spans="6:6" ht="33" customHeight="1" x14ac:dyDescent="0.3">
      <c r="F338" s="6">
        <v>46359</v>
      </c>
    </row>
    <row r="339" spans="6:6" ht="33" customHeight="1" x14ac:dyDescent="0.3">
      <c r="F339" s="6">
        <v>46360</v>
      </c>
    </row>
    <row r="340" spans="6:6" ht="33" customHeight="1" x14ac:dyDescent="0.3">
      <c r="F340" s="6">
        <v>46361</v>
      </c>
    </row>
    <row r="341" spans="6:6" ht="33" customHeight="1" x14ac:dyDescent="0.3">
      <c r="F341" s="6">
        <v>46362</v>
      </c>
    </row>
    <row r="342" spans="6:6" ht="33" customHeight="1" x14ac:dyDescent="0.3">
      <c r="F342" s="6">
        <v>46363</v>
      </c>
    </row>
    <row r="343" spans="6:6" ht="33" customHeight="1" x14ac:dyDescent="0.3">
      <c r="F343" s="6">
        <v>46364</v>
      </c>
    </row>
    <row r="344" spans="6:6" ht="33" customHeight="1" x14ac:dyDescent="0.3">
      <c r="F344" s="6">
        <v>46365</v>
      </c>
    </row>
    <row r="345" spans="6:6" ht="33" customHeight="1" x14ac:dyDescent="0.3">
      <c r="F345" s="6">
        <v>46366</v>
      </c>
    </row>
    <row r="346" spans="6:6" ht="33" customHeight="1" x14ac:dyDescent="0.3">
      <c r="F346" s="6">
        <v>46367</v>
      </c>
    </row>
    <row r="347" spans="6:6" ht="33" customHeight="1" x14ac:dyDescent="0.3">
      <c r="F347" s="6">
        <v>46368</v>
      </c>
    </row>
    <row r="348" spans="6:6" ht="33" customHeight="1" x14ac:dyDescent="0.3">
      <c r="F348" s="6">
        <v>46369</v>
      </c>
    </row>
    <row r="349" spans="6:6" ht="33" customHeight="1" x14ac:dyDescent="0.3">
      <c r="F349" s="6">
        <v>46370</v>
      </c>
    </row>
    <row r="350" spans="6:6" ht="33" customHeight="1" x14ac:dyDescent="0.3">
      <c r="F350" s="6">
        <v>46371</v>
      </c>
    </row>
    <row r="351" spans="6:6" ht="33" customHeight="1" x14ac:dyDescent="0.3">
      <c r="F351" s="6">
        <v>46372</v>
      </c>
    </row>
    <row r="352" spans="6:6" ht="33" customHeight="1" x14ac:dyDescent="0.3">
      <c r="F352" s="6">
        <v>46373</v>
      </c>
    </row>
    <row r="353" spans="6:20" ht="33" customHeight="1" x14ac:dyDescent="0.3">
      <c r="F353" s="6">
        <v>46374</v>
      </c>
    </row>
    <row r="354" spans="6:20" ht="33" customHeight="1" x14ac:dyDescent="0.3">
      <c r="F354" s="6">
        <v>46375</v>
      </c>
    </row>
    <row r="355" spans="6:20" ht="33" customHeight="1" x14ac:dyDescent="0.3">
      <c r="F355" s="6">
        <v>46376</v>
      </c>
    </row>
    <row r="356" spans="6:20" ht="33" customHeight="1" x14ac:dyDescent="0.3">
      <c r="F356" s="6">
        <v>46377</v>
      </c>
    </row>
    <row r="357" spans="6:20" ht="33" customHeight="1" x14ac:dyDescent="0.3">
      <c r="F357" s="6">
        <v>46378</v>
      </c>
    </row>
    <row r="358" spans="6:20" ht="33" customHeight="1" x14ac:dyDescent="0.3">
      <c r="F358" s="6">
        <v>46379</v>
      </c>
    </row>
    <row r="359" spans="6:20" ht="33" customHeight="1" x14ac:dyDescent="0.3">
      <c r="F359" s="6">
        <v>46380</v>
      </c>
    </row>
    <row r="360" spans="6:20" ht="33" customHeight="1" x14ac:dyDescent="0.3">
      <c r="F360" s="6">
        <v>46381</v>
      </c>
    </row>
    <row r="361" spans="6:20" ht="33" customHeight="1" x14ac:dyDescent="0.3">
      <c r="F361" s="6">
        <v>46382</v>
      </c>
    </row>
    <row r="362" spans="6:20" ht="33" customHeight="1" x14ac:dyDescent="0.3">
      <c r="F362" s="6">
        <v>46383</v>
      </c>
    </row>
    <row r="363" spans="6:20" ht="33" customHeight="1" x14ac:dyDescent="0.3">
      <c r="F363" s="6">
        <v>46384</v>
      </c>
    </row>
    <row r="364" spans="6:20" ht="33" customHeight="1" x14ac:dyDescent="0.3">
      <c r="F364" s="6">
        <v>46385</v>
      </c>
    </row>
    <row r="365" spans="6:20" ht="33" customHeight="1" x14ac:dyDescent="0.3">
      <c r="F365" s="6">
        <v>46386</v>
      </c>
    </row>
    <row r="366" spans="6:20" ht="33" customHeight="1" x14ac:dyDescent="0.3">
      <c r="F366" s="6">
        <v>46387</v>
      </c>
    </row>
    <row r="367" spans="6:20" ht="33" customHeight="1" x14ac:dyDescent="0.45">
      <c r="F367" s="3" t="s">
        <v>12</v>
      </c>
      <c r="G367" s="4">
        <f>SUM(G2:G366)</f>
        <v>386305.93999999994</v>
      </c>
      <c r="H367" s="4">
        <f>SUM(H2:H366)</f>
        <v>32</v>
      </c>
      <c r="I367" s="4">
        <f>SUM(I2:I366)</f>
        <v>274943.60000000003</v>
      </c>
      <c r="J367" s="4">
        <f>SUM(J2:J366)</f>
        <v>929569.22</v>
      </c>
      <c r="K367" s="4">
        <f>SUM(K2:K366)</f>
        <v>91</v>
      </c>
      <c r="L367" s="4">
        <f t="shared" ref="L367:T367" si="1">SUM(L2:L366)</f>
        <v>429430.82999999996</v>
      </c>
      <c r="M367" s="4">
        <f t="shared" si="1"/>
        <v>61378.26</v>
      </c>
      <c r="N367" s="4">
        <f t="shared" si="1"/>
        <v>175780.55999999997</v>
      </c>
      <c r="O367" s="4">
        <f t="shared" si="1"/>
        <v>77077.41</v>
      </c>
      <c r="P367" s="4">
        <f t="shared" si="1"/>
        <v>180373.08</v>
      </c>
      <c r="Q367" s="4">
        <f t="shared" si="1"/>
        <v>0</v>
      </c>
      <c r="R367" s="4">
        <f t="shared" si="1"/>
        <v>86740.97</v>
      </c>
      <c r="S367" s="4">
        <f t="shared" si="1"/>
        <v>0</v>
      </c>
      <c r="T367" s="4">
        <f t="shared" si="1"/>
        <v>2556.37</v>
      </c>
    </row>
  </sheetData>
  <mergeCells count="1">
    <mergeCell ref="A18:B18"/>
  </mergeCells>
  <conditionalFormatting sqref="B1:B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69"/>
  <sheetViews>
    <sheetView zoomScale="70" zoomScaleNormal="70" workbookViewId="0">
      <selection activeCell="D9" sqref="D9"/>
    </sheetView>
  </sheetViews>
  <sheetFormatPr defaultRowHeight="14.4" x14ac:dyDescent="0.3"/>
  <cols>
    <col min="1" max="1" width="74.44140625" customWidth="1"/>
    <col min="2" max="2" width="27.44140625" bestFit="1" customWidth="1"/>
    <col min="3" max="3" width="44.44140625" customWidth="1"/>
    <col min="4" max="4" width="15" bestFit="1" customWidth="1"/>
    <col min="6" max="6" width="16" style="38" customWidth="1"/>
    <col min="7" max="8" width="26" customWidth="1"/>
    <col min="9" max="9" width="24.5546875" customWidth="1"/>
    <col min="10" max="18" width="18.6640625" customWidth="1"/>
  </cols>
  <sheetData>
    <row r="1" spans="1:19" ht="33" customHeight="1" x14ac:dyDescent="0.5">
      <c r="A1" s="10" t="s">
        <v>5</v>
      </c>
      <c r="B1" s="23">
        <f>GENELTOPLAM!B1 + MERKEZ!B1</f>
        <v>1746750.77</v>
      </c>
      <c r="F1" s="35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8"/>
    </row>
    <row r="2" spans="1:19" ht="33" customHeight="1" x14ac:dyDescent="0.5">
      <c r="A2" s="11" t="s">
        <v>4</v>
      </c>
      <c r="B2" s="24">
        <f>GENELTOPLAM!B2 + MERKEZ!B2</f>
        <v>1334038.5</v>
      </c>
      <c r="F2" s="36"/>
      <c r="H2" s="46" t="s">
        <v>43</v>
      </c>
      <c r="I2" s="47">
        <f>SUM(
ILKADIM!B2,
KAVAK!B2,
ATAKUM!B2,
HEYKEL!B2,
MERKEZ!B2
)</f>
        <v>1334038.5</v>
      </c>
    </row>
    <row r="3" spans="1:19" ht="33" customHeight="1" x14ac:dyDescent="0.5">
      <c r="A3" s="45" t="s">
        <v>40</v>
      </c>
      <c r="B3" s="28">
        <f>B1-B2</f>
        <v>412712.27</v>
      </c>
      <c r="F3" s="36"/>
      <c r="H3" s="46" t="s">
        <v>41</v>
      </c>
      <c r="I3" s="47">
        <f>SUM(
ILKADIM!G367,ILKADIM!I367,ILKADIM!J367,
KAVAK!G367,KAVAK!I367,KAVAK!J367,
ATAKUM!G367,ATAKUM!I367,ATAKUM!J367,
HEYKEL!G367,HEYKEL!I367,HEYKEL!J367,
MERKEZ!G367,MERKEZ!I367,MERKEZ!J367
)</f>
        <v>1746750.77</v>
      </c>
    </row>
    <row r="4" spans="1:19" ht="33" customHeight="1" x14ac:dyDescent="0.5">
      <c r="A4" s="8" t="s">
        <v>19</v>
      </c>
      <c r="B4" s="25">
        <f>GENELTOPLAM!B3 + MERKEZ!B3</f>
        <v>1099368.5999999999</v>
      </c>
      <c r="F4" s="36"/>
      <c r="H4" s="46" t="s">
        <v>6</v>
      </c>
      <c r="I4" s="47">
        <f>SUM(
ILKADIM!L367,
KAVAK!L367,
ATAKUM!L367,
HEYKEL!L367,
MERKEZ!L367
)</f>
        <v>457150.08999999997</v>
      </c>
    </row>
    <row r="5" spans="1:19" ht="33" customHeight="1" x14ac:dyDescent="0.5">
      <c r="A5" s="13" t="s">
        <v>0</v>
      </c>
      <c r="B5" s="26">
        <f>GENELTOPLAM!B4 + MERKEZ!B4</f>
        <v>100</v>
      </c>
      <c r="F5" s="36"/>
      <c r="H5" s="46" t="s">
        <v>8</v>
      </c>
      <c r="I5" s="47">
        <f>SUM(
ILKADIM!R367,
KAVAK!R367,
ATAKUM!R367,
HEYKEL!R367,
MERKEZ!R367
)</f>
        <v>86740.97</v>
      </c>
    </row>
    <row r="6" spans="1:19" ht="33" customHeight="1" x14ac:dyDescent="0.5">
      <c r="A6" s="15" t="s">
        <v>1</v>
      </c>
      <c r="B6" s="27">
        <f>GENELTOPLAM!B5 + MERKEZ!B5</f>
        <v>34</v>
      </c>
      <c r="F6" s="36"/>
      <c r="H6" s="46" t="s">
        <v>7</v>
      </c>
      <c r="I6" s="47">
        <f>SUM(
ILKADIM!M367,
KAVAK!M367,
ATAKUM!M367,
HEYKEL!M367,
MERKEZ!M367
)</f>
        <v>83654.649999999994</v>
      </c>
    </row>
    <row r="7" spans="1:19" ht="33" customHeight="1" x14ac:dyDescent="0.5">
      <c r="A7" s="16" t="s">
        <v>20</v>
      </c>
      <c r="B7" s="44">
        <f>IF((B1+B4-B3)=0,0,B2/(B1+B4-B3))</f>
        <v>0.54821838072223916</v>
      </c>
      <c r="F7" s="36"/>
      <c r="H7" s="46" t="s">
        <v>10</v>
      </c>
      <c r="I7" s="47">
        <f>SUM(
ILKADIM!P367,
KAVAK!P367,
ATAKUM!P367,
HEYKEL!P367,
MERKEZ!P367
)</f>
        <v>180373.08</v>
      </c>
    </row>
    <row r="8" spans="1:19" ht="33" customHeight="1" x14ac:dyDescent="0.5">
      <c r="A8" s="18" t="s">
        <v>27</v>
      </c>
      <c r="B8" s="27" t="str">
        <f>IF(B7&lt;=0.699, "✅ Uygun", "❌ Aşıldı")</f>
        <v>✅ Uygun</v>
      </c>
      <c r="F8" s="36"/>
      <c r="H8" s="46" t="s">
        <v>9</v>
      </c>
      <c r="I8" s="47">
        <f>SUM(
ILKADIM!O367,
KAVAK!O367,
ATAKUM!O367,
HEYKEL!O367,
MERKEZ!O367
)</f>
        <v>92006.8</v>
      </c>
    </row>
    <row r="9" spans="1:19" ht="33" customHeight="1" x14ac:dyDescent="0.5">
      <c r="A9" s="19" t="s">
        <v>22</v>
      </c>
      <c r="B9" s="26">
        <f>B5*0.3</f>
        <v>30</v>
      </c>
      <c r="F9" s="36"/>
      <c r="H9" s="46" t="s">
        <v>11</v>
      </c>
      <c r="I9" s="47">
        <f>SUM(
ILKADIM!N367,
KAVAK!N367,
ATAKUM!N367,
HEYKEL!N367,
MERKEZ!N367
)</f>
        <v>196886.63999999996</v>
      </c>
    </row>
    <row r="10" spans="1:19" ht="33" customHeight="1" x14ac:dyDescent="0.5">
      <c r="A10" s="14" t="s">
        <v>2</v>
      </c>
      <c r="B10" s="27" t="str">
        <f>IF(B6&gt;=B9, "✅ Uygun", "❌ Yetersiz")</f>
        <v>✅ Uygun</v>
      </c>
      <c r="F10" s="36"/>
      <c r="H10" s="46" t="s">
        <v>42</v>
      </c>
      <c r="I10" s="47">
        <f>SUM(
ILKADIM!T367,
KAVAK!T367,
ATAKUM!T367,
HEYKEL!T367,
MERKEZ!T367
)</f>
        <v>2556.37</v>
      </c>
    </row>
    <row r="11" spans="1:19" ht="33" customHeight="1" x14ac:dyDescent="0.5">
      <c r="A11" s="12" t="s">
        <v>26</v>
      </c>
      <c r="B11" s="28">
        <f>IF(B1=0,0,B1/0.799 - B1)-B4</f>
        <v>-659948.19352941192</v>
      </c>
      <c r="F11" s="36"/>
      <c r="H11" s="46" t="s">
        <v>12</v>
      </c>
      <c r="I11" s="47">
        <f>SUM(I3:I10)</f>
        <v>2846119.37</v>
      </c>
    </row>
    <row r="12" spans="1:19" ht="33" customHeight="1" x14ac:dyDescent="0.5">
      <c r="A12" s="21" t="s">
        <v>21</v>
      </c>
      <c r="B12" s="43">
        <f>IF(SUM(B1,B4)=0, 0, B1/SUM(B1,B4))</f>
        <v>0.61373067778249935</v>
      </c>
      <c r="F12" s="36"/>
    </row>
    <row r="13" spans="1:19" ht="33" customHeight="1" x14ac:dyDescent="0.5">
      <c r="A13" s="20" t="s">
        <v>28</v>
      </c>
      <c r="B13" s="29" t="str">
        <f>IF(B12&lt;=0.799, "✅ Uygun", "❌ Aşıldı")</f>
        <v>✅ Uygun</v>
      </c>
      <c r="C13" s="1"/>
      <c r="D13" s="2"/>
      <c r="E13" s="1"/>
      <c r="F13" s="36"/>
    </row>
    <row r="14" spans="1:19" ht="33" customHeight="1" x14ac:dyDescent="0.5">
      <c r="A14" s="17" t="s">
        <v>25</v>
      </c>
      <c r="B14" s="30">
        <f>IF(B2=0,0,B2/0.699 - B2)-B4</f>
        <v>-524911.39184549334</v>
      </c>
      <c r="C14" s="1"/>
      <c r="F14" s="36"/>
    </row>
    <row r="15" spans="1:19" ht="33" customHeight="1" x14ac:dyDescent="0.5">
      <c r="A15" s="9" t="s">
        <v>23</v>
      </c>
      <c r="B15" s="41">
        <f>IF(ATAKUM!B2+KAVAK!B2+ILKADIM!B2+HEYKEL!B2+MERKEZ!B2=0,0,
(ATAKUM!B16+KAVAK!B16+ILKADIM!B16+HEYKEL!B16+MERKEZ!B16)/
(ATAKUM!B2+KAVAK!B2+ILKADIM!B2+HEYKEL!B2+MERKEZ!B2)
)</f>
        <v>0.33382235220347839</v>
      </c>
      <c r="F15" s="36"/>
    </row>
    <row r="16" spans="1:19" ht="33" customHeight="1" x14ac:dyDescent="0.5">
      <c r="A16" s="22" t="s">
        <v>24</v>
      </c>
      <c r="B16" s="27" t="str">
        <f>IF(B15&gt;=0.1,"✅ Uygun","❌ Aşıldı")</f>
        <v>✅ Uygun</v>
      </c>
      <c r="F16" s="36"/>
    </row>
    <row r="17" spans="1:6" ht="33" customHeight="1" x14ac:dyDescent="0.5">
      <c r="A17" s="22" t="s">
        <v>38</v>
      </c>
      <c r="B17" s="25">
        <f>GENELTOPLAM!B16 + MERKEZ!B16</f>
        <v>445331.87</v>
      </c>
      <c r="F17" s="36"/>
    </row>
    <row r="18" spans="1:6" ht="33" customHeight="1" x14ac:dyDescent="0.5">
      <c r="A18" s="22" t="s">
        <v>39</v>
      </c>
      <c r="B18" s="25">
        <f>SUM(B1+B4)</f>
        <v>2846119.37</v>
      </c>
      <c r="F18" s="36"/>
    </row>
    <row r="19" spans="1:6" ht="33" customHeight="1" x14ac:dyDescent="0.3">
      <c r="F19" s="36"/>
    </row>
    <row r="20" spans="1:6" ht="33" customHeight="1" x14ac:dyDescent="0.55000000000000004">
      <c r="A20" s="48" t="s">
        <v>37</v>
      </c>
      <c r="B20" s="49"/>
      <c r="F20" s="36"/>
    </row>
    <row r="21" spans="1:6" ht="33" customHeight="1" x14ac:dyDescent="0.5">
      <c r="A21" s="16" t="s">
        <v>20</v>
      </c>
      <c r="B21" s="42">
        <f>B7</f>
        <v>0.54821838072223916</v>
      </c>
      <c r="F21" s="36"/>
    </row>
    <row r="22" spans="1:6" ht="33" customHeight="1" x14ac:dyDescent="0.5">
      <c r="A22" s="18" t="s">
        <v>27</v>
      </c>
      <c r="B22" s="32" t="str">
        <f>B8</f>
        <v>✅ Uygun</v>
      </c>
      <c r="F22" s="36"/>
    </row>
    <row r="23" spans="1:6" ht="33" customHeight="1" x14ac:dyDescent="0.5">
      <c r="A23" s="17" t="s">
        <v>26</v>
      </c>
      <c r="B23" s="34">
        <f t="shared" ref="B23:B28" si="0">B11</f>
        <v>-659948.19352941192</v>
      </c>
      <c r="F23" s="36"/>
    </row>
    <row r="24" spans="1:6" ht="33" customHeight="1" x14ac:dyDescent="0.5">
      <c r="A24" s="21" t="s">
        <v>21</v>
      </c>
      <c r="B24" s="42">
        <f t="shared" si="0"/>
        <v>0.61373067778249935</v>
      </c>
      <c r="F24" s="36"/>
    </row>
    <row r="25" spans="1:6" ht="33" customHeight="1" x14ac:dyDescent="0.5">
      <c r="A25" s="20" t="s">
        <v>28</v>
      </c>
      <c r="B25" s="33" t="str">
        <f t="shared" si="0"/>
        <v>✅ Uygun</v>
      </c>
      <c r="F25" s="36"/>
    </row>
    <row r="26" spans="1:6" ht="33" customHeight="1" x14ac:dyDescent="0.5">
      <c r="A26" s="17" t="s">
        <v>25</v>
      </c>
      <c r="B26" s="34">
        <f t="shared" si="0"/>
        <v>-524911.39184549334</v>
      </c>
      <c r="F26" s="36"/>
    </row>
    <row r="27" spans="1:6" ht="33" customHeight="1" x14ac:dyDescent="0.5">
      <c r="A27" s="9" t="s">
        <v>23</v>
      </c>
      <c r="B27" s="42">
        <f t="shared" si="0"/>
        <v>0.33382235220347839</v>
      </c>
      <c r="F27" s="36"/>
    </row>
    <row r="28" spans="1:6" ht="33" customHeight="1" x14ac:dyDescent="0.5">
      <c r="A28" s="22" t="s">
        <v>24</v>
      </c>
      <c r="B28" s="32" t="str">
        <f t="shared" si="0"/>
        <v>✅ Uygun</v>
      </c>
      <c r="F28" s="36"/>
    </row>
    <row r="29" spans="1:6" ht="33" customHeight="1" x14ac:dyDescent="0.5">
      <c r="A29" s="14" t="s">
        <v>2</v>
      </c>
      <c r="B29" s="32" t="str">
        <f>B10</f>
        <v>✅ Uygun</v>
      </c>
      <c r="F29" s="36"/>
    </row>
    <row r="30" spans="1:6" ht="33" customHeight="1" x14ac:dyDescent="0.3">
      <c r="F30" s="36"/>
    </row>
    <row r="31" spans="1:6" ht="33" customHeight="1" x14ac:dyDescent="0.3">
      <c r="F31" s="36"/>
    </row>
    <row r="32" spans="1:6" ht="33" customHeight="1" x14ac:dyDescent="0.3">
      <c r="F32" s="36"/>
    </row>
    <row r="33" spans="6:6" ht="33" customHeight="1" x14ac:dyDescent="0.3">
      <c r="F33" s="36"/>
    </row>
    <row r="34" spans="6:6" ht="33" customHeight="1" x14ac:dyDescent="0.3">
      <c r="F34" s="36"/>
    </row>
    <row r="35" spans="6:6" ht="33" customHeight="1" x14ac:dyDescent="0.3">
      <c r="F35" s="36"/>
    </row>
    <row r="36" spans="6:6" ht="33" customHeight="1" x14ac:dyDescent="0.3">
      <c r="F36" s="36"/>
    </row>
    <row r="37" spans="6:6" ht="33" customHeight="1" x14ac:dyDescent="0.3">
      <c r="F37" s="36"/>
    </row>
    <row r="38" spans="6:6" ht="33" customHeight="1" x14ac:dyDescent="0.3">
      <c r="F38" s="36"/>
    </row>
    <row r="39" spans="6:6" ht="33" customHeight="1" x14ac:dyDescent="0.3">
      <c r="F39" s="36"/>
    </row>
    <row r="40" spans="6:6" ht="33" customHeight="1" x14ac:dyDescent="0.3">
      <c r="F40" s="36"/>
    </row>
    <row r="41" spans="6:6" ht="33" customHeight="1" x14ac:dyDescent="0.3">
      <c r="F41" s="36"/>
    </row>
    <row r="42" spans="6:6" ht="33" customHeight="1" x14ac:dyDescent="0.3">
      <c r="F42" s="36"/>
    </row>
    <row r="43" spans="6:6" ht="33" customHeight="1" x14ac:dyDescent="0.3">
      <c r="F43" s="36"/>
    </row>
    <row r="44" spans="6:6" ht="33" customHeight="1" x14ac:dyDescent="0.3">
      <c r="F44" s="36"/>
    </row>
    <row r="45" spans="6:6" ht="33" customHeight="1" x14ac:dyDescent="0.3">
      <c r="F45" s="36"/>
    </row>
    <row r="46" spans="6:6" ht="33" customHeight="1" x14ac:dyDescent="0.3">
      <c r="F46" s="36"/>
    </row>
    <row r="47" spans="6:6" ht="33" customHeight="1" x14ac:dyDescent="0.3">
      <c r="F47" s="36"/>
    </row>
    <row r="48" spans="6:6" ht="33" customHeight="1" x14ac:dyDescent="0.3">
      <c r="F48" s="36"/>
    </row>
    <row r="49" spans="6:6" ht="33" customHeight="1" x14ac:dyDescent="0.3">
      <c r="F49" s="36"/>
    </row>
    <row r="50" spans="6:6" ht="33" customHeight="1" x14ac:dyDescent="0.3">
      <c r="F50" s="36"/>
    </row>
    <row r="51" spans="6:6" ht="33" customHeight="1" x14ac:dyDescent="0.3">
      <c r="F51" s="36"/>
    </row>
    <row r="52" spans="6:6" ht="33" customHeight="1" x14ac:dyDescent="0.3">
      <c r="F52" s="36"/>
    </row>
    <row r="53" spans="6:6" ht="33" customHeight="1" x14ac:dyDescent="0.3">
      <c r="F53" s="36"/>
    </row>
    <row r="54" spans="6:6" ht="33" customHeight="1" x14ac:dyDescent="0.3">
      <c r="F54" s="36"/>
    </row>
    <row r="55" spans="6:6" ht="33" customHeight="1" x14ac:dyDescent="0.3">
      <c r="F55" s="36"/>
    </row>
    <row r="56" spans="6:6" ht="33" customHeight="1" x14ac:dyDescent="0.3">
      <c r="F56" s="36"/>
    </row>
    <row r="57" spans="6:6" ht="33" customHeight="1" x14ac:dyDescent="0.3">
      <c r="F57" s="36"/>
    </row>
    <row r="58" spans="6:6" ht="33" customHeight="1" x14ac:dyDescent="0.3">
      <c r="F58" s="36"/>
    </row>
    <row r="59" spans="6:6" ht="33" customHeight="1" x14ac:dyDescent="0.3">
      <c r="F59" s="36"/>
    </row>
    <row r="60" spans="6:6" ht="33" customHeight="1" x14ac:dyDescent="0.3">
      <c r="F60" s="36"/>
    </row>
    <row r="61" spans="6:6" ht="33" customHeight="1" x14ac:dyDescent="0.3">
      <c r="F61" s="36"/>
    </row>
    <row r="62" spans="6:6" ht="33" customHeight="1" x14ac:dyDescent="0.3">
      <c r="F62" s="36"/>
    </row>
    <row r="63" spans="6:6" ht="33" customHeight="1" x14ac:dyDescent="0.3">
      <c r="F63" s="36"/>
    </row>
    <row r="64" spans="6:6" ht="33" customHeight="1" x14ac:dyDescent="0.3">
      <c r="F64" s="36"/>
    </row>
    <row r="65" spans="6:6" ht="33" customHeight="1" x14ac:dyDescent="0.3">
      <c r="F65" s="36"/>
    </row>
    <row r="66" spans="6:6" ht="33" customHeight="1" x14ac:dyDescent="0.3">
      <c r="F66" s="36"/>
    </row>
    <row r="67" spans="6:6" ht="33" customHeight="1" x14ac:dyDescent="0.3">
      <c r="F67" s="36"/>
    </row>
    <row r="68" spans="6:6" ht="33" customHeight="1" x14ac:dyDescent="0.3">
      <c r="F68" s="36"/>
    </row>
    <row r="69" spans="6:6" ht="33" customHeight="1" x14ac:dyDescent="0.3">
      <c r="F69" s="36"/>
    </row>
    <row r="70" spans="6:6" ht="33" customHeight="1" x14ac:dyDescent="0.3">
      <c r="F70" s="36"/>
    </row>
    <row r="71" spans="6:6" ht="33" customHeight="1" x14ac:dyDescent="0.3">
      <c r="F71" s="36"/>
    </row>
    <row r="72" spans="6:6" ht="33" customHeight="1" x14ac:dyDescent="0.3">
      <c r="F72" s="36"/>
    </row>
    <row r="73" spans="6:6" ht="33" customHeight="1" x14ac:dyDescent="0.3">
      <c r="F73" s="36"/>
    </row>
    <row r="74" spans="6:6" ht="33" customHeight="1" x14ac:dyDescent="0.3">
      <c r="F74" s="36"/>
    </row>
    <row r="75" spans="6:6" ht="33" customHeight="1" x14ac:dyDescent="0.3">
      <c r="F75" s="36"/>
    </row>
    <row r="76" spans="6:6" ht="33" customHeight="1" x14ac:dyDescent="0.3">
      <c r="F76" s="36"/>
    </row>
    <row r="77" spans="6:6" ht="33" customHeight="1" x14ac:dyDescent="0.3">
      <c r="F77" s="36"/>
    </row>
    <row r="78" spans="6:6" ht="33" customHeight="1" x14ac:dyDescent="0.3">
      <c r="F78" s="36"/>
    </row>
    <row r="79" spans="6:6" ht="33" customHeight="1" x14ac:dyDescent="0.3">
      <c r="F79" s="36"/>
    </row>
    <row r="80" spans="6:6" ht="33" customHeight="1" x14ac:dyDescent="0.3">
      <c r="F80" s="36"/>
    </row>
    <row r="81" spans="6:6" ht="33" customHeight="1" x14ac:dyDescent="0.3">
      <c r="F81" s="36"/>
    </row>
    <row r="82" spans="6:6" ht="33" customHeight="1" x14ac:dyDescent="0.3">
      <c r="F82" s="36"/>
    </row>
    <row r="83" spans="6:6" ht="33" customHeight="1" x14ac:dyDescent="0.3">
      <c r="F83" s="36"/>
    </row>
    <row r="84" spans="6:6" ht="33" customHeight="1" x14ac:dyDescent="0.3">
      <c r="F84" s="36"/>
    </row>
    <row r="85" spans="6:6" ht="33" customHeight="1" x14ac:dyDescent="0.3">
      <c r="F85" s="36"/>
    </row>
    <row r="86" spans="6:6" ht="33" customHeight="1" x14ac:dyDescent="0.3">
      <c r="F86" s="36"/>
    </row>
    <row r="87" spans="6:6" ht="33" customHeight="1" x14ac:dyDescent="0.3">
      <c r="F87" s="36"/>
    </row>
    <row r="88" spans="6:6" ht="33" customHeight="1" x14ac:dyDescent="0.3">
      <c r="F88" s="36"/>
    </row>
    <row r="89" spans="6:6" ht="33" customHeight="1" x14ac:dyDescent="0.3">
      <c r="F89" s="36"/>
    </row>
    <row r="90" spans="6:6" ht="33" customHeight="1" x14ac:dyDescent="0.3">
      <c r="F90" s="36"/>
    </row>
    <row r="91" spans="6:6" ht="33" customHeight="1" x14ac:dyDescent="0.3">
      <c r="F91" s="36"/>
    </row>
    <row r="92" spans="6:6" ht="33" customHeight="1" x14ac:dyDescent="0.3">
      <c r="F92" s="36"/>
    </row>
    <row r="93" spans="6:6" ht="33" customHeight="1" x14ac:dyDescent="0.3">
      <c r="F93" s="36"/>
    </row>
    <row r="94" spans="6:6" ht="33" customHeight="1" x14ac:dyDescent="0.3">
      <c r="F94" s="36"/>
    </row>
    <row r="95" spans="6:6" ht="33" customHeight="1" x14ac:dyDescent="0.3">
      <c r="F95" s="36"/>
    </row>
    <row r="96" spans="6:6" ht="33" customHeight="1" x14ac:dyDescent="0.3">
      <c r="F96" s="36"/>
    </row>
    <row r="97" spans="6:6" ht="33" customHeight="1" x14ac:dyDescent="0.3">
      <c r="F97" s="36"/>
    </row>
    <row r="98" spans="6:6" ht="33" customHeight="1" x14ac:dyDescent="0.3">
      <c r="F98" s="36"/>
    </row>
    <row r="99" spans="6:6" ht="33" customHeight="1" x14ac:dyDescent="0.3">
      <c r="F99" s="36"/>
    </row>
    <row r="100" spans="6:6" ht="33" customHeight="1" x14ac:dyDescent="0.3">
      <c r="F100" s="36"/>
    </row>
    <row r="101" spans="6:6" ht="33" customHeight="1" x14ac:dyDescent="0.3">
      <c r="F101" s="36"/>
    </row>
    <row r="102" spans="6:6" ht="33" customHeight="1" x14ac:dyDescent="0.3">
      <c r="F102" s="36"/>
    </row>
    <row r="103" spans="6:6" ht="33" customHeight="1" x14ac:dyDescent="0.3">
      <c r="F103" s="36"/>
    </row>
    <row r="104" spans="6:6" ht="33" customHeight="1" x14ac:dyDescent="0.3">
      <c r="F104" s="36"/>
    </row>
    <row r="105" spans="6:6" ht="33" customHeight="1" x14ac:dyDescent="0.3">
      <c r="F105" s="36"/>
    </row>
    <row r="106" spans="6:6" ht="33" customHeight="1" x14ac:dyDescent="0.3">
      <c r="F106" s="36"/>
    </row>
    <row r="107" spans="6:6" ht="33" customHeight="1" x14ac:dyDescent="0.3">
      <c r="F107" s="36"/>
    </row>
    <row r="108" spans="6:6" ht="33" customHeight="1" x14ac:dyDescent="0.3">
      <c r="F108" s="36"/>
    </row>
    <row r="109" spans="6:6" ht="33" customHeight="1" x14ac:dyDescent="0.3">
      <c r="F109" s="36"/>
    </row>
    <row r="110" spans="6:6" ht="33" customHeight="1" x14ac:dyDescent="0.3">
      <c r="F110" s="36"/>
    </row>
    <row r="111" spans="6:6" ht="33" customHeight="1" x14ac:dyDescent="0.3">
      <c r="F111" s="36"/>
    </row>
    <row r="112" spans="6:6" ht="33" customHeight="1" x14ac:dyDescent="0.3">
      <c r="F112" s="36"/>
    </row>
    <row r="113" spans="6:6" ht="33" customHeight="1" x14ac:dyDescent="0.3">
      <c r="F113" s="36"/>
    </row>
    <row r="114" spans="6:6" ht="33" customHeight="1" x14ac:dyDescent="0.3">
      <c r="F114" s="36"/>
    </row>
    <row r="115" spans="6:6" ht="33" customHeight="1" x14ac:dyDescent="0.3">
      <c r="F115" s="36"/>
    </row>
    <row r="116" spans="6:6" ht="33" customHeight="1" x14ac:dyDescent="0.3">
      <c r="F116" s="36"/>
    </row>
    <row r="117" spans="6:6" ht="33" customHeight="1" x14ac:dyDescent="0.3">
      <c r="F117" s="36"/>
    </row>
    <row r="118" spans="6:6" ht="33" customHeight="1" x14ac:dyDescent="0.3">
      <c r="F118" s="36"/>
    </row>
    <row r="119" spans="6:6" ht="33" customHeight="1" x14ac:dyDescent="0.3">
      <c r="F119" s="36"/>
    </row>
    <row r="120" spans="6:6" ht="33" customHeight="1" x14ac:dyDescent="0.3">
      <c r="F120" s="36"/>
    </row>
    <row r="121" spans="6:6" ht="33" customHeight="1" x14ac:dyDescent="0.3">
      <c r="F121" s="36"/>
    </row>
    <row r="122" spans="6:6" ht="33" customHeight="1" x14ac:dyDescent="0.3">
      <c r="F122" s="36"/>
    </row>
    <row r="123" spans="6:6" ht="33" customHeight="1" x14ac:dyDescent="0.3">
      <c r="F123" s="36"/>
    </row>
    <row r="124" spans="6:6" ht="33" customHeight="1" x14ac:dyDescent="0.3">
      <c r="F124" s="36"/>
    </row>
    <row r="125" spans="6:6" ht="33" customHeight="1" x14ac:dyDescent="0.3">
      <c r="F125" s="36"/>
    </row>
    <row r="126" spans="6:6" ht="33" customHeight="1" x14ac:dyDescent="0.3">
      <c r="F126" s="36"/>
    </row>
    <row r="127" spans="6:6" ht="33" customHeight="1" x14ac:dyDescent="0.3">
      <c r="F127" s="36"/>
    </row>
    <row r="128" spans="6:6" ht="33" customHeight="1" x14ac:dyDescent="0.3">
      <c r="F128" s="36"/>
    </row>
    <row r="129" spans="6:6" ht="33" customHeight="1" x14ac:dyDescent="0.3">
      <c r="F129" s="36"/>
    </row>
    <row r="130" spans="6:6" ht="33" customHeight="1" x14ac:dyDescent="0.3">
      <c r="F130" s="36"/>
    </row>
    <row r="131" spans="6:6" ht="33" customHeight="1" x14ac:dyDescent="0.3">
      <c r="F131" s="36"/>
    </row>
    <row r="132" spans="6:6" ht="33" customHeight="1" x14ac:dyDescent="0.3">
      <c r="F132" s="36"/>
    </row>
    <row r="133" spans="6:6" ht="33" customHeight="1" x14ac:dyDescent="0.3">
      <c r="F133" s="36"/>
    </row>
    <row r="134" spans="6:6" ht="33" customHeight="1" x14ac:dyDescent="0.3">
      <c r="F134" s="36"/>
    </row>
    <row r="135" spans="6:6" ht="33" customHeight="1" x14ac:dyDescent="0.3">
      <c r="F135" s="36"/>
    </row>
    <row r="136" spans="6:6" ht="33" customHeight="1" x14ac:dyDescent="0.3">
      <c r="F136" s="36"/>
    </row>
    <row r="137" spans="6:6" ht="33" customHeight="1" x14ac:dyDescent="0.3">
      <c r="F137" s="36"/>
    </row>
    <row r="138" spans="6:6" ht="33" customHeight="1" x14ac:dyDescent="0.3">
      <c r="F138" s="36"/>
    </row>
    <row r="139" spans="6:6" ht="33" customHeight="1" x14ac:dyDescent="0.3">
      <c r="F139" s="36"/>
    </row>
    <row r="140" spans="6:6" ht="33" customHeight="1" x14ac:dyDescent="0.3">
      <c r="F140" s="36"/>
    </row>
    <row r="141" spans="6:6" ht="33" customHeight="1" x14ac:dyDescent="0.3">
      <c r="F141" s="36"/>
    </row>
    <row r="142" spans="6:6" ht="33" customHeight="1" x14ac:dyDescent="0.3">
      <c r="F142" s="36"/>
    </row>
    <row r="143" spans="6:6" ht="33" customHeight="1" x14ac:dyDescent="0.3">
      <c r="F143" s="36"/>
    </row>
    <row r="144" spans="6:6" ht="33" customHeight="1" x14ac:dyDescent="0.3">
      <c r="F144" s="36"/>
    </row>
    <row r="145" spans="6:6" ht="33" customHeight="1" x14ac:dyDescent="0.3">
      <c r="F145" s="36"/>
    </row>
    <row r="146" spans="6:6" ht="33" customHeight="1" x14ac:dyDescent="0.3">
      <c r="F146" s="36"/>
    </row>
    <row r="147" spans="6:6" ht="33" customHeight="1" x14ac:dyDescent="0.3">
      <c r="F147" s="36"/>
    </row>
    <row r="148" spans="6:6" ht="33" customHeight="1" x14ac:dyDescent="0.3">
      <c r="F148" s="36"/>
    </row>
    <row r="149" spans="6:6" ht="33" customHeight="1" x14ac:dyDescent="0.3">
      <c r="F149" s="36"/>
    </row>
    <row r="150" spans="6:6" ht="33" customHeight="1" x14ac:dyDescent="0.3">
      <c r="F150" s="36"/>
    </row>
    <row r="151" spans="6:6" ht="33" customHeight="1" x14ac:dyDescent="0.3">
      <c r="F151" s="36"/>
    </row>
    <row r="152" spans="6:6" ht="33" customHeight="1" x14ac:dyDescent="0.3">
      <c r="F152" s="36"/>
    </row>
    <row r="153" spans="6:6" ht="33" customHeight="1" x14ac:dyDescent="0.3">
      <c r="F153" s="36"/>
    </row>
    <row r="154" spans="6:6" ht="33" customHeight="1" x14ac:dyDescent="0.3">
      <c r="F154" s="36"/>
    </row>
    <row r="155" spans="6:6" ht="33" customHeight="1" x14ac:dyDescent="0.3">
      <c r="F155" s="36"/>
    </row>
    <row r="156" spans="6:6" ht="33" customHeight="1" x14ac:dyDescent="0.3">
      <c r="F156" s="36"/>
    </row>
    <row r="157" spans="6:6" ht="33" customHeight="1" x14ac:dyDescent="0.3">
      <c r="F157" s="36"/>
    </row>
    <row r="158" spans="6:6" ht="33" customHeight="1" x14ac:dyDescent="0.3">
      <c r="F158" s="36"/>
    </row>
    <row r="159" spans="6:6" ht="33" customHeight="1" x14ac:dyDescent="0.3">
      <c r="F159" s="36"/>
    </row>
    <row r="160" spans="6:6" ht="33" customHeight="1" x14ac:dyDescent="0.3">
      <c r="F160" s="36"/>
    </row>
    <row r="161" spans="6:6" ht="33" customHeight="1" x14ac:dyDescent="0.3">
      <c r="F161" s="36"/>
    </row>
    <row r="162" spans="6:6" ht="33" customHeight="1" x14ac:dyDescent="0.3">
      <c r="F162" s="36"/>
    </row>
    <row r="163" spans="6:6" ht="33" customHeight="1" x14ac:dyDescent="0.3">
      <c r="F163" s="36"/>
    </row>
    <row r="164" spans="6:6" ht="33" customHeight="1" x14ac:dyDescent="0.3">
      <c r="F164" s="36"/>
    </row>
    <row r="165" spans="6:6" ht="33" customHeight="1" x14ac:dyDescent="0.3">
      <c r="F165" s="36"/>
    </row>
    <row r="166" spans="6:6" ht="33" customHeight="1" x14ac:dyDescent="0.3">
      <c r="F166" s="36"/>
    </row>
    <row r="167" spans="6:6" ht="33" customHeight="1" x14ac:dyDescent="0.3">
      <c r="F167" s="36"/>
    </row>
    <row r="168" spans="6:6" ht="33" customHeight="1" x14ac:dyDescent="0.3">
      <c r="F168" s="36"/>
    </row>
    <row r="169" spans="6:6" ht="33" customHeight="1" x14ac:dyDescent="0.3">
      <c r="F169" s="36"/>
    </row>
    <row r="170" spans="6:6" ht="33" customHeight="1" x14ac:dyDescent="0.3">
      <c r="F170" s="36"/>
    </row>
    <row r="171" spans="6:6" ht="33" customHeight="1" x14ac:dyDescent="0.3">
      <c r="F171" s="36"/>
    </row>
    <row r="172" spans="6:6" ht="33" customHeight="1" x14ac:dyDescent="0.3">
      <c r="F172" s="36"/>
    </row>
    <row r="173" spans="6:6" ht="33" customHeight="1" x14ac:dyDescent="0.3">
      <c r="F173" s="36"/>
    </row>
    <row r="174" spans="6:6" ht="33" customHeight="1" x14ac:dyDescent="0.3">
      <c r="F174" s="36"/>
    </row>
    <row r="175" spans="6:6" ht="33" customHeight="1" x14ac:dyDescent="0.3">
      <c r="F175" s="36"/>
    </row>
    <row r="176" spans="6:6" ht="33" customHeight="1" x14ac:dyDescent="0.3">
      <c r="F176" s="36"/>
    </row>
    <row r="177" spans="6:6" ht="33" customHeight="1" x14ac:dyDescent="0.3">
      <c r="F177" s="36"/>
    </row>
    <row r="178" spans="6:6" ht="33" customHeight="1" x14ac:dyDescent="0.3">
      <c r="F178" s="36"/>
    </row>
    <row r="179" spans="6:6" ht="33" customHeight="1" x14ac:dyDescent="0.3">
      <c r="F179" s="36"/>
    </row>
    <row r="180" spans="6:6" ht="33" customHeight="1" x14ac:dyDescent="0.3">
      <c r="F180" s="36"/>
    </row>
    <row r="181" spans="6:6" ht="33" customHeight="1" x14ac:dyDescent="0.3">
      <c r="F181" s="36"/>
    </row>
    <row r="182" spans="6:6" ht="33" customHeight="1" x14ac:dyDescent="0.3">
      <c r="F182" s="36"/>
    </row>
    <row r="183" spans="6:6" ht="33" customHeight="1" x14ac:dyDescent="0.3">
      <c r="F183" s="36"/>
    </row>
    <row r="184" spans="6:6" ht="33" customHeight="1" x14ac:dyDescent="0.3">
      <c r="F184" s="36"/>
    </row>
    <row r="185" spans="6:6" ht="33" customHeight="1" x14ac:dyDescent="0.3">
      <c r="F185" s="36"/>
    </row>
    <row r="186" spans="6:6" ht="33" customHeight="1" x14ac:dyDescent="0.3">
      <c r="F186" s="36"/>
    </row>
    <row r="187" spans="6:6" ht="33" customHeight="1" x14ac:dyDescent="0.3">
      <c r="F187" s="36"/>
    </row>
    <row r="188" spans="6:6" ht="33" customHeight="1" x14ac:dyDescent="0.3">
      <c r="F188" s="36"/>
    </row>
    <row r="189" spans="6:6" ht="33" customHeight="1" x14ac:dyDescent="0.3">
      <c r="F189" s="36"/>
    </row>
    <row r="190" spans="6:6" ht="33" customHeight="1" x14ac:dyDescent="0.3">
      <c r="F190" s="36"/>
    </row>
    <row r="191" spans="6:6" ht="33" customHeight="1" x14ac:dyDescent="0.3">
      <c r="F191" s="36"/>
    </row>
    <row r="192" spans="6:6" ht="33" customHeight="1" x14ac:dyDescent="0.3">
      <c r="F192" s="36"/>
    </row>
    <row r="193" spans="6:6" ht="33" customHeight="1" x14ac:dyDescent="0.3">
      <c r="F193" s="36"/>
    </row>
    <row r="194" spans="6:6" ht="33" customHeight="1" x14ac:dyDescent="0.3">
      <c r="F194" s="36"/>
    </row>
    <row r="195" spans="6:6" ht="33" customHeight="1" x14ac:dyDescent="0.3">
      <c r="F195" s="36"/>
    </row>
    <row r="196" spans="6:6" ht="33" customHeight="1" x14ac:dyDescent="0.3">
      <c r="F196" s="36"/>
    </row>
    <row r="197" spans="6:6" ht="33" customHeight="1" x14ac:dyDescent="0.3">
      <c r="F197" s="36"/>
    </row>
    <row r="198" spans="6:6" ht="33" customHeight="1" x14ac:dyDescent="0.3">
      <c r="F198" s="36"/>
    </row>
    <row r="199" spans="6:6" ht="33" customHeight="1" x14ac:dyDescent="0.3">
      <c r="F199" s="36"/>
    </row>
    <row r="200" spans="6:6" ht="33" customHeight="1" x14ac:dyDescent="0.3">
      <c r="F200" s="36"/>
    </row>
    <row r="201" spans="6:6" ht="33" customHeight="1" x14ac:dyDescent="0.3">
      <c r="F201" s="36"/>
    </row>
    <row r="202" spans="6:6" ht="33" customHeight="1" x14ac:dyDescent="0.3">
      <c r="F202" s="36"/>
    </row>
    <row r="203" spans="6:6" ht="33" customHeight="1" x14ac:dyDescent="0.3">
      <c r="F203" s="36"/>
    </row>
    <row r="204" spans="6:6" ht="33" customHeight="1" x14ac:dyDescent="0.3">
      <c r="F204" s="36"/>
    </row>
    <row r="205" spans="6:6" ht="33" customHeight="1" x14ac:dyDescent="0.3">
      <c r="F205" s="36"/>
    </row>
    <row r="206" spans="6:6" ht="33" customHeight="1" x14ac:dyDescent="0.3">
      <c r="F206" s="36"/>
    </row>
    <row r="207" spans="6:6" ht="33" customHeight="1" x14ac:dyDescent="0.3">
      <c r="F207" s="36"/>
    </row>
    <row r="208" spans="6:6" ht="33" customHeight="1" x14ac:dyDescent="0.3">
      <c r="F208" s="36"/>
    </row>
    <row r="209" spans="6:6" ht="33" customHeight="1" x14ac:dyDescent="0.3">
      <c r="F209" s="36"/>
    </row>
    <row r="210" spans="6:6" ht="33" customHeight="1" x14ac:dyDescent="0.3">
      <c r="F210" s="36"/>
    </row>
    <row r="211" spans="6:6" ht="33" customHeight="1" x14ac:dyDescent="0.3">
      <c r="F211" s="36"/>
    </row>
    <row r="212" spans="6:6" ht="33" customHeight="1" x14ac:dyDescent="0.3">
      <c r="F212" s="36"/>
    </row>
    <row r="213" spans="6:6" ht="33" customHeight="1" x14ac:dyDescent="0.3">
      <c r="F213" s="36"/>
    </row>
    <row r="214" spans="6:6" ht="33" customHeight="1" x14ac:dyDescent="0.3">
      <c r="F214" s="36"/>
    </row>
    <row r="215" spans="6:6" ht="33" customHeight="1" x14ac:dyDescent="0.3">
      <c r="F215" s="36"/>
    </row>
    <row r="216" spans="6:6" ht="33" customHeight="1" x14ac:dyDescent="0.3">
      <c r="F216" s="36"/>
    </row>
    <row r="217" spans="6:6" ht="33" customHeight="1" x14ac:dyDescent="0.3">
      <c r="F217" s="36"/>
    </row>
    <row r="218" spans="6:6" ht="33" customHeight="1" x14ac:dyDescent="0.3">
      <c r="F218" s="36"/>
    </row>
    <row r="219" spans="6:6" ht="33" customHeight="1" x14ac:dyDescent="0.3">
      <c r="F219" s="36"/>
    </row>
    <row r="220" spans="6:6" ht="33" customHeight="1" x14ac:dyDescent="0.3">
      <c r="F220" s="36"/>
    </row>
    <row r="221" spans="6:6" ht="33" customHeight="1" x14ac:dyDescent="0.3">
      <c r="F221" s="36"/>
    </row>
    <row r="222" spans="6:6" ht="33" customHeight="1" x14ac:dyDescent="0.3">
      <c r="F222" s="36"/>
    </row>
    <row r="223" spans="6:6" ht="33" customHeight="1" x14ac:dyDescent="0.3">
      <c r="F223" s="36"/>
    </row>
    <row r="224" spans="6:6" ht="33" customHeight="1" x14ac:dyDescent="0.3">
      <c r="F224" s="36"/>
    </row>
    <row r="225" spans="6:6" ht="33" customHeight="1" x14ac:dyDescent="0.3">
      <c r="F225" s="36"/>
    </row>
    <row r="226" spans="6:6" ht="33" customHeight="1" x14ac:dyDescent="0.3">
      <c r="F226" s="36"/>
    </row>
    <row r="227" spans="6:6" ht="33" customHeight="1" x14ac:dyDescent="0.3">
      <c r="F227" s="36"/>
    </row>
    <row r="228" spans="6:6" ht="33" customHeight="1" x14ac:dyDescent="0.3">
      <c r="F228" s="36"/>
    </row>
    <row r="229" spans="6:6" ht="33" customHeight="1" x14ac:dyDescent="0.3">
      <c r="F229" s="36"/>
    </row>
    <row r="230" spans="6:6" ht="33" customHeight="1" x14ac:dyDescent="0.3">
      <c r="F230" s="36"/>
    </row>
    <row r="231" spans="6:6" ht="33" customHeight="1" x14ac:dyDescent="0.3">
      <c r="F231" s="36"/>
    </row>
    <row r="232" spans="6:6" ht="33" customHeight="1" x14ac:dyDescent="0.3">
      <c r="F232" s="36"/>
    </row>
    <row r="233" spans="6:6" ht="33" customHeight="1" x14ac:dyDescent="0.3">
      <c r="F233" s="36"/>
    </row>
    <row r="234" spans="6:6" ht="33" customHeight="1" x14ac:dyDescent="0.3">
      <c r="F234" s="36"/>
    </row>
    <row r="235" spans="6:6" ht="33" customHeight="1" x14ac:dyDescent="0.3">
      <c r="F235" s="36"/>
    </row>
    <row r="236" spans="6:6" ht="33" customHeight="1" x14ac:dyDescent="0.3">
      <c r="F236" s="36"/>
    </row>
    <row r="237" spans="6:6" ht="33" customHeight="1" x14ac:dyDescent="0.3">
      <c r="F237" s="36"/>
    </row>
    <row r="238" spans="6:6" ht="33" customHeight="1" x14ac:dyDescent="0.3">
      <c r="F238" s="36"/>
    </row>
    <row r="239" spans="6:6" ht="33" customHeight="1" x14ac:dyDescent="0.3">
      <c r="F239" s="36"/>
    </row>
    <row r="240" spans="6:6" ht="33" customHeight="1" x14ac:dyDescent="0.3">
      <c r="F240" s="36"/>
    </row>
    <row r="241" spans="6:6" ht="33" customHeight="1" x14ac:dyDescent="0.3">
      <c r="F241" s="36"/>
    </row>
    <row r="242" spans="6:6" ht="33" customHeight="1" x14ac:dyDescent="0.3">
      <c r="F242" s="36"/>
    </row>
    <row r="243" spans="6:6" ht="33" customHeight="1" x14ac:dyDescent="0.3">
      <c r="F243" s="36"/>
    </row>
    <row r="244" spans="6:6" ht="33" customHeight="1" x14ac:dyDescent="0.3">
      <c r="F244" s="36"/>
    </row>
    <row r="245" spans="6:6" ht="33" customHeight="1" x14ac:dyDescent="0.3">
      <c r="F245" s="36"/>
    </row>
    <row r="246" spans="6:6" ht="33" customHeight="1" x14ac:dyDescent="0.3">
      <c r="F246" s="36"/>
    </row>
    <row r="247" spans="6:6" ht="33" customHeight="1" x14ac:dyDescent="0.3">
      <c r="F247" s="36"/>
    </row>
    <row r="248" spans="6:6" ht="33" customHeight="1" x14ac:dyDescent="0.3">
      <c r="F248" s="36"/>
    </row>
    <row r="249" spans="6:6" ht="33" customHeight="1" x14ac:dyDescent="0.3">
      <c r="F249" s="36"/>
    </row>
    <row r="250" spans="6:6" ht="33" customHeight="1" x14ac:dyDescent="0.3">
      <c r="F250" s="36"/>
    </row>
    <row r="251" spans="6:6" ht="33" customHeight="1" x14ac:dyDescent="0.3">
      <c r="F251" s="36"/>
    </row>
    <row r="252" spans="6:6" ht="33" customHeight="1" x14ac:dyDescent="0.3">
      <c r="F252" s="36"/>
    </row>
    <row r="253" spans="6:6" ht="33" customHeight="1" x14ac:dyDescent="0.3">
      <c r="F253" s="36"/>
    </row>
    <row r="254" spans="6:6" ht="33" customHeight="1" x14ac:dyDescent="0.3">
      <c r="F254" s="36"/>
    </row>
    <row r="255" spans="6:6" ht="33" customHeight="1" x14ac:dyDescent="0.3">
      <c r="F255" s="36"/>
    </row>
    <row r="256" spans="6:6" ht="33" customHeight="1" x14ac:dyDescent="0.3">
      <c r="F256" s="36"/>
    </row>
    <row r="257" spans="6:6" ht="33" customHeight="1" x14ac:dyDescent="0.3">
      <c r="F257" s="36"/>
    </row>
    <row r="258" spans="6:6" ht="33" customHeight="1" x14ac:dyDescent="0.3">
      <c r="F258" s="36"/>
    </row>
    <row r="259" spans="6:6" ht="33" customHeight="1" x14ac:dyDescent="0.3">
      <c r="F259" s="36"/>
    </row>
    <row r="260" spans="6:6" ht="33" customHeight="1" x14ac:dyDescent="0.3">
      <c r="F260" s="36"/>
    </row>
    <row r="261" spans="6:6" ht="33" customHeight="1" x14ac:dyDescent="0.3">
      <c r="F261" s="36"/>
    </row>
    <row r="262" spans="6:6" ht="33" customHeight="1" x14ac:dyDescent="0.3">
      <c r="F262" s="36"/>
    </row>
    <row r="263" spans="6:6" ht="33" customHeight="1" x14ac:dyDescent="0.3">
      <c r="F263" s="36"/>
    </row>
    <row r="264" spans="6:6" ht="33" customHeight="1" x14ac:dyDescent="0.3">
      <c r="F264" s="36"/>
    </row>
    <row r="265" spans="6:6" ht="33" customHeight="1" x14ac:dyDescent="0.3">
      <c r="F265" s="36"/>
    </row>
    <row r="266" spans="6:6" ht="33" customHeight="1" x14ac:dyDescent="0.3">
      <c r="F266" s="36"/>
    </row>
    <row r="267" spans="6:6" ht="33" customHeight="1" x14ac:dyDescent="0.3">
      <c r="F267" s="36"/>
    </row>
    <row r="268" spans="6:6" ht="33" customHeight="1" x14ac:dyDescent="0.3">
      <c r="F268" s="36"/>
    </row>
    <row r="269" spans="6:6" ht="33" customHeight="1" x14ac:dyDescent="0.3">
      <c r="F269" s="36"/>
    </row>
    <row r="270" spans="6:6" ht="33" customHeight="1" x14ac:dyDescent="0.3">
      <c r="F270" s="36"/>
    </row>
    <row r="271" spans="6:6" ht="33" customHeight="1" x14ac:dyDescent="0.3">
      <c r="F271" s="36"/>
    </row>
    <row r="272" spans="6:6" ht="33" customHeight="1" x14ac:dyDescent="0.3">
      <c r="F272" s="36"/>
    </row>
    <row r="273" spans="6:6" ht="33" customHeight="1" x14ac:dyDescent="0.3">
      <c r="F273" s="36"/>
    </row>
    <row r="274" spans="6:6" ht="33" customHeight="1" x14ac:dyDescent="0.3">
      <c r="F274" s="36"/>
    </row>
    <row r="275" spans="6:6" ht="33" customHeight="1" x14ac:dyDescent="0.3">
      <c r="F275" s="36"/>
    </row>
    <row r="276" spans="6:6" ht="33" customHeight="1" x14ac:dyDescent="0.3">
      <c r="F276" s="36"/>
    </row>
    <row r="277" spans="6:6" ht="33" customHeight="1" x14ac:dyDescent="0.3">
      <c r="F277" s="36"/>
    </row>
    <row r="278" spans="6:6" ht="33" customHeight="1" x14ac:dyDescent="0.3">
      <c r="F278" s="36"/>
    </row>
    <row r="279" spans="6:6" ht="33" customHeight="1" x14ac:dyDescent="0.3">
      <c r="F279" s="36"/>
    </row>
    <row r="280" spans="6:6" ht="33" customHeight="1" x14ac:dyDescent="0.3">
      <c r="F280" s="36"/>
    </row>
    <row r="281" spans="6:6" ht="33" customHeight="1" x14ac:dyDescent="0.3">
      <c r="F281" s="36"/>
    </row>
    <row r="282" spans="6:6" ht="33" customHeight="1" x14ac:dyDescent="0.3">
      <c r="F282" s="36"/>
    </row>
    <row r="283" spans="6:6" ht="33" customHeight="1" x14ac:dyDescent="0.3">
      <c r="F283" s="36"/>
    </row>
    <row r="284" spans="6:6" ht="33" customHeight="1" x14ac:dyDescent="0.3">
      <c r="F284" s="36"/>
    </row>
    <row r="285" spans="6:6" ht="33" customHeight="1" x14ac:dyDescent="0.3">
      <c r="F285" s="36"/>
    </row>
    <row r="286" spans="6:6" ht="33" customHeight="1" x14ac:dyDescent="0.3">
      <c r="F286" s="36"/>
    </row>
    <row r="287" spans="6:6" ht="33" customHeight="1" x14ac:dyDescent="0.3">
      <c r="F287" s="36"/>
    </row>
    <row r="288" spans="6:6" ht="33" customHeight="1" x14ac:dyDescent="0.3">
      <c r="F288" s="36"/>
    </row>
    <row r="289" spans="6:6" ht="33" customHeight="1" x14ac:dyDescent="0.3">
      <c r="F289" s="36"/>
    </row>
    <row r="290" spans="6:6" ht="33" customHeight="1" x14ac:dyDescent="0.3">
      <c r="F290" s="36"/>
    </row>
    <row r="291" spans="6:6" ht="33" customHeight="1" x14ac:dyDescent="0.3">
      <c r="F291" s="36"/>
    </row>
    <row r="292" spans="6:6" ht="33" customHeight="1" x14ac:dyDescent="0.3">
      <c r="F292" s="36"/>
    </row>
    <row r="293" spans="6:6" ht="33" customHeight="1" x14ac:dyDescent="0.3">
      <c r="F293" s="36"/>
    </row>
    <row r="294" spans="6:6" ht="33" customHeight="1" x14ac:dyDescent="0.3">
      <c r="F294" s="36"/>
    </row>
    <row r="295" spans="6:6" ht="33" customHeight="1" x14ac:dyDescent="0.3">
      <c r="F295" s="36"/>
    </row>
    <row r="296" spans="6:6" ht="33" customHeight="1" x14ac:dyDescent="0.3">
      <c r="F296" s="36"/>
    </row>
    <row r="297" spans="6:6" ht="33" customHeight="1" x14ac:dyDescent="0.3">
      <c r="F297" s="36"/>
    </row>
    <row r="298" spans="6:6" ht="33" customHeight="1" x14ac:dyDescent="0.3">
      <c r="F298" s="36"/>
    </row>
    <row r="299" spans="6:6" ht="33" customHeight="1" x14ac:dyDescent="0.3">
      <c r="F299" s="36"/>
    </row>
    <row r="300" spans="6:6" ht="33" customHeight="1" x14ac:dyDescent="0.3">
      <c r="F300" s="36"/>
    </row>
    <row r="301" spans="6:6" ht="33" customHeight="1" x14ac:dyDescent="0.3">
      <c r="F301" s="36"/>
    </row>
    <row r="302" spans="6:6" ht="33" customHeight="1" x14ac:dyDescent="0.3">
      <c r="F302" s="36"/>
    </row>
    <row r="303" spans="6:6" ht="33" customHeight="1" x14ac:dyDescent="0.3">
      <c r="F303" s="36"/>
    </row>
    <row r="304" spans="6:6" ht="33" customHeight="1" x14ac:dyDescent="0.3">
      <c r="F304" s="36"/>
    </row>
    <row r="305" spans="6:6" ht="33" customHeight="1" x14ac:dyDescent="0.3">
      <c r="F305" s="36"/>
    </row>
    <row r="306" spans="6:6" ht="33" customHeight="1" x14ac:dyDescent="0.3">
      <c r="F306" s="36"/>
    </row>
    <row r="307" spans="6:6" ht="33" customHeight="1" x14ac:dyDescent="0.3">
      <c r="F307" s="36"/>
    </row>
    <row r="308" spans="6:6" ht="33" customHeight="1" x14ac:dyDescent="0.3">
      <c r="F308" s="36"/>
    </row>
    <row r="309" spans="6:6" ht="33" customHeight="1" x14ac:dyDescent="0.3">
      <c r="F309" s="36"/>
    </row>
    <row r="310" spans="6:6" ht="33" customHeight="1" x14ac:dyDescent="0.3">
      <c r="F310" s="36"/>
    </row>
    <row r="311" spans="6:6" ht="33" customHeight="1" x14ac:dyDescent="0.3">
      <c r="F311" s="36"/>
    </row>
    <row r="312" spans="6:6" ht="33" customHeight="1" x14ac:dyDescent="0.3">
      <c r="F312" s="36"/>
    </row>
    <row r="313" spans="6:6" ht="33" customHeight="1" x14ac:dyDescent="0.3">
      <c r="F313" s="36"/>
    </row>
    <row r="314" spans="6:6" ht="33" customHeight="1" x14ac:dyDescent="0.3">
      <c r="F314" s="36"/>
    </row>
    <row r="315" spans="6:6" ht="33" customHeight="1" x14ac:dyDescent="0.3">
      <c r="F315" s="36"/>
    </row>
    <row r="316" spans="6:6" ht="33" customHeight="1" x14ac:dyDescent="0.3">
      <c r="F316" s="36"/>
    </row>
    <row r="317" spans="6:6" ht="33" customHeight="1" x14ac:dyDescent="0.3">
      <c r="F317" s="36"/>
    </row>
    <row r="318" spans="6:6" ht="33" customHeight="1" x14ac:dyDescent="0.3">
      <c r="F318" s="36"/>
    </row>
    <row r="319" spans="6:6" ht="33" customHeight="1" x14ac:dyDescent="0.3">
      <c r="F319" s="36"/>
    </row>
    <row r="320" spans="6:6" ht="33" customHeight="1" x14ac:dyDescent="0.3">
      <c r="F320" s="36"/>
    </row>
    <row r="321" spans="6:6" ht="33" customHeight="1" x14ac:dyDescent="0.3">
      <c r="F321" s="36"/>
    </row>
    <row r="322" spans="6:6" ht="33" customHeight="1" x14ac:dyDescent="0.3">
      <c r="F322" s="36"/>
    </row>
    <row r="323" spans="6:6" ht="33" customHeight="1" x14ac:dyDescent="0.3">
      <c r="F323" s="36"/>
    </row>
    <row r="324" spans="6:6" ht="33" customHeight="1" x14ac:dyDescent="0.3">
      <c r="F324" s="36"/>
    </row>
    <row r="325" spans="6:6" ht="33" customHeight="1" x14ac:dyDescent="0.3">
      <c r="F325" s="36"/>
    </row>
    <row r="326" spans="6:6" ht="33" customHeight="1" x14ac:dyDescent="0.3">
      <c r="F326" s="36"/>
    </row>
    <row r="327" spans="6:6" ht="33" customHeight="1" x14ac:dyDescent="0.3">
      <c r="F327" s="36"/>
    </row>
    <row r="328" spans="6:6" ht="33" customHeight="1" x14ac:dyDescent="0.3">
      <c r="F328" s="36"/>
    </row>
    <row r="329" spans="6:6" ht="33" customHeight="1" x14ac:dyDescent="0.3">
      <c r="F329" s="36"/>
    </row>
    <row r="330" spans="6:6" ht="33" customHeight="1" x14ac:dyDescent="0.3">
      <c r="F330" s="36"/>
    </row>
    <row r="331" spans="6:6" ht="33" customHeight="1" x14ac:dyDescent="0.3">
      <c r="F331" s="36"/>
    </row>
    <row r="332" spans="6:6" ht="33" customHeight="1" x14ac:dyDescent="0.3">
      <c r="F332" s="36"/>
    </row>
    <row r="333" spans="6:6" ht="33" customHeight="1" x14ac:dyDescent="0.3">
      <c r="F333" s="36"/>
    </row>
    <row r="334" spans="6:6" ht="33" customHeight="1" x14ac:dyDescent="0.3">
      <c r="F334" s="36"/>
    </row>
    <row r="335" spans="6:6" ht="33" customHeight="1" x14ac:dyDescent="0.3">
      <c r="F335" s="36"/>
    </row>
    <row r="336" spans="6:6" ht="33" customHeight="1" x14ac:dyDescent="0.3">
      <c r="F336" s="36"/>
    </row>
    <row r="337" spans="6:6" ht="33" customHeight="1" x14ac:dyDescent="0.3">
      <c r="F337" s="36"/>
    </row>
    <row r="338" spans="6:6" ht="33" customHeight="1" x14ac:dyDescent="0.3">
      <c r="F338" s="36"/>
    </row>
    <row r="339" spans="6:6" ht="33" customHeight="1" x14ac:dyDescent="0.3">
      <c r="F339" s="36"/>
    </row>
    <row r="340" spans="6:6" ht="33" customHeight="1" x14ac:dyDescent="0.3">
      <c r="F340" s="36"/>
    </row>
    <row r="341" spans="6:6" ht="33" customHeight="1" x14ac:dyDescent="0.3">
      <c r="F341" s="36"/>
    </row>
    <row r="342" spans="6:6" ht="33" customHeight="1" x14ac:dyDescent="0.3">
      <c r="F342" s="36"/>
    </row>
    <row r="343" spans="6:6" ht="33" customHeight="1" x14ac:dyDescent="0.3">
      <c r="F343" s="36"/>
    </row>
    <row r="344" spans="6:6" ht="33" customHeight="1" x14ac:dyDescent="0.3">
      <c r="F344" s="36"/>
    </row>
    <row r="345" spans="6:6" ht="33" customHeight="1" x14ac:dyDescent="0.3">
      <c r="F345" s="36"/>
    </row>
    <row r="346" spans="6:6" ht="33" customHeight="1" x14ac:dyDescent="0.3">
      <c r="F346" s="36"/>
    </row>
    <row r="347" spans="6:6" ht="33" customHeight="1" x14ac:dyDescent="0.3">
      <c r="F347" s="36"/>
    </row>
    <row r="348" spans="6:6" ht="33" customHeight="1" x14ac:dyDescent="0.3">
      <c r="F348" s="36"/>
    </row>
    <row r="349" spans="6:6" ht="33" customHeight="1" x14ac:dyDescent="0.3">
      <c r="F349" s="36"/>
    </row>
    <row r="350" spans="6:6" ht="33" customHeight="1" x14ac:dyDescent="0.3">
      <c r="F350" s="36"/>
    </row>
    <row r="351" spans="6:6" ht="33" customHeight="1" x14ac:dyDescent="0.3">
      <c r="F351" s="36"/>
    </row>
    <row r="352" spans="6:6" ht="33" customHeight="1" x14ac:dyDescent="0.3">
      <c r="F352" s="36"/>
    </row>
    <row r="353" spans="6:6" ht="33" customHeight="1" x14ac:dyDescent="0.3">
      <c r="F353" s="36"/>
    </row>
    <row r="354" spans="6:6" ht="33" customHeight="1" x14ac:dyDescent="0.3">
      <c r="F354" s="36"/>
    </row>
    <row r="355" spans="6:6" ht="33" customHeight="1" x14ac:dyDescent="0.3">
      <c r="F355" s="36"/>
    </row>
    <row r="356" spans="6:6" ht="33" customHeight="1" x14ac:dyDescent="0.3">
      <c r="F356" s="36"/>
    </row>
    <row r="357" spans="6:6" ht="33" customHeight="1" x14ac:dyDescent="0.3">
      <c r="F357" s="36"/>
    </row>
    <row r="358" spans="6:6" ht="33" customHeight="1" x14ac:dyDescent="0.3">
      <c r="F358" s="36"/>
    </row>
    <row r="359" spans="6:6" ht="33" customHeight="1" x14ac:dyDescent="0.3">
      <c r="F359" s="36"/>
    </row>
    <row r="360" spans="6:6" ht="33" customHeight="1" x14ac:dyDescent="0.3">
      <c r="F360" s="36"/>
    </row>
    <row r="361" spans="6:6" ht="33" customHeight="1" x14ac:dyDescent="0.3">
      <c r="F361" s="36"/>
    </row>
    <row r="362" spans="6:6" ht="33" customHeight="1" x14ac:dyDescent="0.3">
      <c r="F362" s="36"/>
    </row>
    <row r="363" spans="6:6" ht="33" customHeight="1" x14ac:dyDescent="0.3">
      <c r="F363" s="36"/>
    </row>
    <row r="364" spans="6:6" ht="33" customHeight="1" x14ac:dyDescent="0.3">
      <c r="F364" s="36"/>
    </row>
    <row r="365" spans="6:6" ht="33" customHeight="1" x14ac:dyDescent="0.3">
      <c r="F365" s="36"/>
    </row>
    <row r="366" spans="6:6" ht="33" customHeight="1" x14ac:dyDescent="0.3">
      <c r="F366" s="36"/>
    </row>
    <row r="367" spans="6:6" ht="33" customHeight="1" x14ac:dyDescent="0.3">
      <c r="F367" s="36"/>
    </row>
    <row r="368" spans="6:6" ht="33" customHeight="1" x14ac:dyDescent="0.3">
      <c r="F368" s="36"/>
    </row>
    <row r="369" spans="6:18" ht="33" customHeight="1" x14ac:dyDescent="0.45">
      <c r="F369" s="3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</sheetData>
  <mergeCells count="1">
    <mergeCell ref="A20:B20"/>
  </mergeCells>
  <conditionalFormatting sqref="B1:B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ATAKUM</vt:lpstr>
      <vt:lpstr>KAVAK</vt:lpstr>
      <vt:lpstr>ILKADIM</vt:lpstr>
      <vt:lpstr>HEYKEL</vt:lpstr>
      <vt:lpstr>GENELTOPLAM</vt:lpstr>
      <vt:lpstr>MERKEZ</vt:lpstr>
      <vt:lpstr>SIRKETEKRANI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ONUR ŞENOL</cp:lastModifiedBy>
  <dcterms:created xsi:type="dcterms:W3CDTF">2025-07-22T16:42:04Z</dcterms:created>
  <dcterms:modified xsi:type="dcterms:W3CDTF">2026-02-11T17:22:04Z</dcterms:modified>
</cp:coreProperties>
</file>